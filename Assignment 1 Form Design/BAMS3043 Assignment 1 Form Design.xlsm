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omments2.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er\Documents\RMM2Y3S1\BAMS3043 Mathematical &amp; Statistical Software\Assignment 1\"/>
    </mc:Choice>
  </mc:AlternateContent>
  <xr:revisionPtr revIDLastSave="0" documentId="13_ncr:1_{CA21244C-8C29-4D19-8AA2-7EB4C6BF853A}" xr6:coauthVersionLast="47" xr6:coauthVersionMax="47" xr10:uidLastSave="{00000000-0000-0000-0000-000000000000}"/>
  <bookViews>
    <workbookView xWindow="-108" yWindow="-108" windowWidth="23256" windowHeight="12576" activeTab="1" xr2:uid="{BDE09D1F-1E06-4880-B106-74384D02D716}"/>
  </bookViews>
  <sheets>
    <sheet name="Blank Form" sheetId="1" r:id="rId1"/>
    <sheet name="Filled Form (a sample case)" sheetId="9" r:id="rId2"/>
    <sheet name="ITR" sheetId="8" r:id="rId3"/>
    <sheet name="Tax Relief" sheetId="5" r:id="rId4"/>
    <sheet name="Income Tax Rates" sheetId="6" r:id="rId5"/>
  </sheets>
  <definedNames>
    <definedName name="bt_printext.php?bt_kump_5_bt_skum_1_bt_posi_2_bt_unit_5000_bt_sequ_11" localSheetId="4">'Income Tax Rates'!$A$3:$D$191</definedName>
    <definedName name="bt_printext.php?bt_kump_5_bt_skum_1_bt_posi_3_bt_unit_1_bt_sequ_1" localSheetId="3">'Tax Relief'!$A$1:$C$362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18" i="9" l="1"/>
  <c r="L116" i="9"/>
  <c r="L113" i="9"/>
  <c r="L107" i="9"/>
  <c r="L106" i="9"/>
  <c r="L105" i="9"/>
  <c r="L103" i="9"/>
  <c r="L97" i="9"/>
  <c r="L88" i="9"/>
  <c r="L124" i="9" s="1"/>
  <c r="L76" i="9"/>
  <c r="L88" i="1"/>
  <c r="L76" i="1"/>
  <c r="L118" i="1"/>
  <c r="L116" i="1"/>
  <c r="L113" i="1"/>
  <c r="L107" i="1"/>
  <c r="L106" i="1"/>
  <c r="L105" i="1"/>
  <c r="L103" i="1"/>
  <c r="L97" i="1"/>
  <c r="F5" i="8"/>
  <c r="L125" i="9" l="1"/>
  <c r="L128" i="9" s="1"/>
  <c r="L124" i="1"/>
  <c r="L125" i="1" l="1"/>
  <c r="L12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14" authorId="0" shapeId="0" xr:uid="{A26D99E9-BCED-4CA5-9F77-B081829B34F4}">
      <text>
        <r>
          <rPr>
            <sz val="9"/>
            <color indexed="81"/>
            <rFont val="Times New Roman"/>
            <family val="1"/>
          </rPr>
          <t>include bonuses and dividends before any deductions</t>
        </r>
        <r>
          <rPr>
            <sz val="9"/>
            <color indexed="81"/>
            <rFont val="Tahoma"/>
            <family val="2"/>
          </rPr>
          <t xml:space="preserve">
</t>
        </r>
      </text>
    </comment>
    <comment ref="L39" authorId="0" shapeId="0" xr:uid="{DE33E37D-AD98-4D83-BE9E-F48274F7DC3E}">
      <text>
        <r>
          <rPr>
            <sz val="9"/>
            <color indexed="81"/>
            <rFont val="Times New Roman"/>
            <family val="1"/>
          </rPr>
          <t>the total amount you paid for your child(ren)'s education savings plan(s) this year</t>
        </r>
        <r>
          <rPr>
            <sz val="9"/>
            <color indexed="81"/>
            <rFont val="Tahoma"/>
            <family val="2"/>
          </rPr>
          <t xml:space="preserve">
</t>
        </r>
      </text>
    </comment>
    <comment ref="L41" authorId="0" shapeId="0" xr:uid="{AD2412C6-0983-4554-965F-07899B13DC78}">
      <text>
        <r>
          <rPr>
            <sz val="9"/>
            <color indexed="81"/>
            <rFont val="Times New Roman"/>
            <family val="1"/>
          </rPr>
          <t>the total contribution you have made in your child(ren)'s SSPN-i account this year. SSPN-i is a saving scheme by the PTPTN to save for higher education</t>
        </r>
        <r>
          <rPr>
            <sz val="9"/>
            <color indexed="81"/>
            <rFont val="Tahoma"/>
            <family val="2"/>
          </rPr>
          <t xml:space="preserve">
</t>
        </r>
      </text>
    </comment>
    <comment ref="L46" authorId="0" shapeId="0" xr:uid="{12DD6BA2-AEC3-4FEF-BF6A-84AFA92EB739}">
      <text>
        <r>
          <rPr>
            <sz val="9"/>
            <color indexed="81"/>
            <rFont val="Times New Roman"/>
            <family val="1"/>
          </rPr>
          <t>the total amount you paid for your life insurance plan this year</t>
        </r>
      </text>
    </comment>
    <comment ref="L48" authorId="0" shapeId="0" xr:uid="{92A8E5EE-BEB7-49B3-A527-D846FEB70B76}">
      <text>
        <r>
          <rPr>
            <sz val="9"/>
            <color indexed="81"/>
            <rFont val="Times New Roman"/>
            <family val="1"/>
          </rPr>
          <t>the total amount you paid for your medical insurance plan this year</t>
        </r>
      </text>
    </comment>
    <comment ref="L50" authorId="0" shapeId="0" xr:uid="{6BF242BA-4E82-4A35-824B-88046CAE6404}">
      <text>
        <r>
          <rPr>
            <sz val="9"/>
            <color indexed="81"/>
            <rFont val="Times New Roman"/>
            <family val="1"/>
          </rPr>
          <t>the total contribution you made in your Private Retirement Scheme (PRS) account, a voluntary retirement savings scheme, this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14" authorId="0" shapeId="0" xr:uid="{3451D247-F9C7-43BD-9005-64DA49BFCBFC}">
      <text>
        <r>
          <rPr>
            <sz val="9"/>
            <color indexed="81"/>
            <rFont val="Times New Roman"/>
            <family val="1"/>
          </rPr>
          <t>include bonuses and dividends before any deductions</t>
        </r>
        <r>
          <rPr>
            <sz val="9"/>
            <color indexed="81"/>
            <rFont val="Tahoma"/>
            <family val="2"/>
          </rPr>
          <t xml:space="preserve">
</t>
        </r>
      </text>
    </comment>
    <comment ref="L39" authorId="0" shapeId="0" xr:uid="{6458DADC-B209-4EBC-A2B4-052CE1835AF8}">
      <text>
        <r>
          <rPr>
            <sz val="9"/>
            <color indexed="81"/>
            <rFont val="Times New Roman"/>
            <family val="1"/>
          </rPr>
          <t>the total amount you paid for your child(ren)'s education savings plan(s) this year</t>
        </r>
        <r>
          <rPr>
            <sz val="9"/>
            <color indexed="81"/>
            <rFont val="Tahoma"/>
            <family val="2"/>
          </rPr>
          <t xml:space="preserve">
</t>
        </r>
      </text>
    </comment>
    <comment ref="L41" authorId="0" shapeId="0" xr:uid="{1C8D278E-B8D1-476A-B6E8-63A538344C54}">
      <text>
        <r>
          <rPr>
            <sz val="9"/>
            <color indexed="81"/>
            <rFont val="Times New Roman"/>
            <family val="1"/>
          </rPr>
          <t>the total contribution you have made in your child(ren)'s SSPN-i account this year. SSPN-i is a saving scheme by the PTPTN to save for higher education</t>
        </r>
        <r>
          <rPr>
            <sz val="9"/>
            <color indexed="81"/>
            <rFont val="Tahoma"/>
            <family val="2"/>
          </rPr>
          <t xml:space="preserve">
</t>
        </r>
      </text>
    </comment>
    <comment ref="L46" authorId="0" shapeId="0" xr:uid="{62870CD7-450F-4295-94CD-426F3662C694}">
      <text>
        <r>
          <rPr>
            <sz val="9"/>
            <color indexed="81"/>
            <rFont val="Times New Roman"/>
            <family val="1"/>
          </rPr>
          <t>the total amount you paid for your life insurance plan this year</t>
        </r>
      </text>
    </comment>
    <comment ref="L48" authorId="0" shapeId="0" xr:uid="{F1E2891E-8953-4E00-AD02-4D13FFE7DC2A}">
      <text>
        <r>
          <rPr>
            <sz val="9"/>
            <color indexed="81"/>
            <rFont val="Times New Roman"/>
            <family val="1"/>
          </rPr>
          <t>the total amount you paid for your medical insurance plan this year</t>
        </r>
      </text>
    </comment>
    <comment ref="L50" authorId="0" shapeId="0" xr:uid="{F0E91FD2-1AD2-41C3-9773-DB87F7E819E5}">
      <text>
        <r>
          <rPr>
            <sz val="9"/>
            <color indexed="81"/>
            <rFont val="Times New Roman"/>
            <family val="1"/>
          </rPr>
          <t>the total contribution you made in your Private Retirement Scheme (PRS) account, a voluntary retirement savings scheme, this year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3296B4E-27DA-446D-A2BC-76A3C4E3E72B}" name="Connection" type="4" refreshedVersion="7" background="1" saveData="1">
    <webPr sourceData="1" parsePre="1" consecutive="1" xl2000="1" url="http://www.hasil.gov.my/bt_printext.php?bt_kump=5&amp;bt_skum=1&amp;bt_posi=3&amp;bt_unit=1&amp;bt_sequ=1"/>
  </connection>
  <connection id="2" xr16:uid="{D08D84C0-398D-40C6-A7FD-B4A29F033DC3}" name="Connection1" type="4" refreshedVersion="7" background="1" saveData="1">
    <webPr sourceData="1" parsePre="1" consecutive="1" xl2000="1" url="http://www.hasil.gov.my/bt_printext.php?bt_kump=5&amp;bt_skum=1&amp;bt_posi=2&amp;bt_unit=5000&amp;bt_sequ=11"/>
  </connection>
</connections>
</file>

<file path=xl/sharedStrings.xml><?xml version="1.0" encoding="utf-8"?>
<sst xmlns="http://schemas.openxmlformats.org/spreadsheetml/2006/main" count="878" uniqueCount="290">
  <si>
    <t>Tax Relief for Resident Individual</t>
  </si>
  <si>
    <t>Year of Assessment 2020</t>
  </si>
  <si>
    <t>No.</t>
  </si>
  <si>
    <t>Individual Relief Types</t>
  </si>
  <si>
    <t xml:space="preserve">Amount (RM) </t>
  </si>
  <si>
    <t>Individual and dependent relatives</t>
  </si>
  <si>
    <t>Medical treatment, special needs and carer expenses for parents (Medical condition certified by medical practitioner)</t>
  </si>
  <si>
    <t xml:space="preserve">OR </t>
  </si>
  <si>
    <t>Parent</t>
  </si>
  <si>
    <t>Restricted to 1,500 for only one mother</t>
  </si>
  <si>
    <t>Restricted to 1,500 for only one father</t>
  </si>
  <si>
    <t>5,000 (Restricted)</t>
  </si>
  <si>
    <t>OR</t>
  </si>
  <si>
    <t>3000 (Restricted)</t>
  </si>
  <si>
    <t>Basic supporting equipment for disabled self, spouse, child or parent</t>
  </si>
  <si>
    <t>6,000 (Restricted)</t>
  </si>
  <si>
    <t>Disabled individual</t>
  </si>
  <si>
    <t xml:space="preserve">Education fees (Self) </t>
  </si>
  <si>
    <t>i. Other than a degree at masters or doctorate level - Course of study in law, accounting, islamic financing, technical, vocational, industrial, scientific or technology</t>
  </si>
  <si>
    <t>ii. Degree at masters or doctorate level - Any course of study</t>
  </si>
  <si>
    <t>7,000 (Restricted)</t>
  </si>
  <si>
    <t>Medical expenses for serious diseases for self, spouse or child</t>
  </si>
  <si>
    <t>Medical expenses for fertility treatment for self or spouse</t>
  </si>
  <si>
    <t>Complete medical examination for self, spouse, child (Restricted to 500)</t>
  </si>
  <si>
    <t>Lifestyle â Expenses for the use / benefit of self, spouse or child in respect of:</t>
  </si>
  <si>
    <t>i. purchase of books / journals / magazines / printed newspapers / other similar publications (Not banned reading materials)</t>
  </si>
  <si>
    <t>ii. purchase of personal computer, smartphone or tablet (Not for business use)</t>
  </si>
  <si>
    <t>iii. purchase of sports equipment for sports activity defined under the Sports Development Act 1997 and payment of gym membership</t>
  </si>
  <si>
    <t>iv. payment of monthly bill for internet subscription (Under own name)</t>
  </si>
  <si>
    <t>2,500 (Restricted)</t>
  </si>
  <si>
    <t>Lifestyle â Purchase of personal computer, smartphone or tablet for self, spouse or child and not for business use</t>
  </si>
  <si>
    <t xml:space="preserve">(Additional deduction for purchase made within the period of 1st June 2020 to 31st December 2020) </t>
  </si>
  <si>
    <t>Purchase of breastfeeding equipment for own use for a child aged 2 years and below (Deduction allowed once in every 2 years of assessment)</t>
  </si>
  <si>
    <t>1,000 (Restricted)</t>
  </si>
  <si>
    <t>Child care fees to a registered child care centre / kindergarten for a child aged 6 years and below</t>
  </si>
  <si>
    <t>3,000 (Restricted)</t>
  </si>
  <si>
    <t>Net deposit in Skim Simpanan Pendidikan Nasional (Total deposit in 2020 MINUS total withdrawal in 2020)</t>
  </si>
  <si>
    <t>8,000 (Restricted)</t>
  </si>
  <si>
    <t>Husband / wife / payment of alimony to former wife</t>
  </si>
  <si>
    <t>4,000 (Restricted)</t>
  </si>
  <si>
    <t>Disabled husband / wife</t>
  </si>
  <si>
    <t>Each unmarried child and under the age of 18 years old</t>
  </si>
  <si>
    <t>Each unmarried child of 18 years and above who is receiving full-time education ("A-Level", certificate, matriculation or preparatory courses).</t>
  </si>
  <si>
    <t>Each unmarried child of 18 years and above that:</t>
  </si>
  <si>
    <t>i. receiving further education in Malaysia in respect of an award of diploma or higher (excluding matriculation/ preparatory courses).</t>
  </si>
  <si>
    <t>ii. receiving further education outside Malaysia in respect of an award of degree or its equivalent (including Master or Doctorate).</t>
  </si>
  <si>
    <t>iii. the instruction and educational establishment shall be approved by the relevant government authority.</t>
  </si>
  <si>
    <t>Disabled child</t>
  </si>
  <si>
    <t>Additional exemption of RM8,000 disable child age 18 years old and above, not married and pursuing diplomas or above qualification in Malaysia @ bachelor degree or above outside Malaysia in program and in Higher Education Institute that is accredited by related Government authorities</t>
  </si>
  <si>
    <t>Life insurance and EPF INCLUDING not through salary deduction</t>
  </si>
  <si>
    <t>i. Pensionable public servant category</t>
  </si>
  <si>
    <t>Life insurance premium</t>
  </si>
  <si>
    <t>ii. OTHER than pensionable public servant category</t>
  </si>
  <si>
    <t>Life insurance premium (Restricted to RM3,000)</t>
  </si>
  <si>
    <t>Contribution to EPF / approved scheme (Restricted to RM4,000)</t>
  </si>
  <si>
    <t>Deferred Annuity and Private Retirement Scheme (PRS) - with effect from year assessment 2012 until year assessment 2021</t>
  </si>
  <si>
    <t>Education and medical insurance (INCLUDING not through salary deduction)</t>
  </si>
  <si>
    <t>Contribution to the Social Security Organization (SOCSO)</t>
  </si>
  <si>
    <t>250 (Restricted)</t>
  </si>
  <si>
    <t>Payment for accommodation at premises registered with the Commissioner of Tourism and entrance fee to a tourist attraction</t>
  </si>
  <si>
    <t>(Accomodation expenses at premises registered with the Ministry of Tourism, Arts and Culture Malaysia and entrance fees to tourists attractions incurred on or after 1st March 2020)</t>
  </si>
  <si>
    <t>Registered accomodation premises can be check thru link of : http://www.motac.gov.my/en/check/registered-hotel</t>
  </si>
  <si>
    <t>Year of Assessment 2019</t>
  </si>
  <si>
    <t>1000 (Restricted)</t>
  </si>
  <si>
    <t>Net deposit in Skim Simpanan Pendidikan Nasional (Total deposit in 2019 MINUS total withdrawal in 2019)</t>
  </si>
  <si>
    <t>Year of Assessment 2018</t>
  </si>
  <si>
    <t>Self and Dependent</t>
  </si>
  <si>
    <t>Medical expenses for parents</t>
  </si>
  <si>
    <t>Limited 1,500 for only one mother</t>
  </si>
  <si>
    <t>Limited 1,500 for only one father</t>
  </si>
  <si>
    <t>5,000 (Limited)</t>
  </si>
  <si>
    <t>3000 (Limited)</t>
  </si>
  <si>
    <t>6,000 (Limited)</t>
  </si>
  <si>
    <t>Disabled Individual</t>
  </si>
  <si>
    <t>Education Fees (Self)</t>
  </si>
  <si>
    <t>(i) Other than a degree at Masters or Doctorate level-for acquiring law, accounting, Islamic financing, technical, vocational, industrial, scientific or technological skills or qualifications;</t>
  </si>
  <si>
    <t xml:space="preserve">(ii) Degree at Masters or Doctorate level-for acquiring any skills or qualification </t>
  </si>
  <si>
    <t>7,000 (Limited)</t>
  </si>
  <si>
    <t>Complete medical examination for self, spouse, child - 500 (Limited)</t>
  </si>
  <si>
    <t>Lifestyle:</t>
  </si>
  <si>
    <t>(i) Purchase of books journals, magazines, printed newspaper and other similar publications (except banned reading materials) for self, spouse or child;</t>
  </si>
  <si>
    <t>(ii) Purchase of a personal computer, smartphone or tablet for self, spouse or child;</t>
  </si>
  <si>
    <t>(iii) Purchase of sports equipment for any sports activity as defined under the Sports Development Act 1997 (excluding motorized two-wheel bicycles) and gym memberships for self, spouse or child; and</t>
  </si>
  <si>
    <t>(iv) Payment of monthly bill for internet subscription</t>
  </si>
  <si>
    <t>2,500 (Limited)</t>
  </si>
  <si>
    <t>Purchase of breastfeeding equipment</t>
  </si>
  <si>
    <t>1,000 (Limited)</t>
  </si>
  <si>
    <t>Net saving in SSPN's scheme (total deposit in year 2018 MINUS total withdrawal in year 2018)</t>
  </si>
  <si>
    <t>Child care fees to a Child Care Centre or a Kindergarten</t>
  </si>
  <si>
    <t>1000 (Limited)</t>
  </si>
  <si>
    <t>Husband/Wife/Alimony Payments</t>
  </si>
  <si>
    <t>4,000 (Limited)</t>
  </si>
  <si>
    <t>Disable Wife/Husband</t>
  </si>
  <si>
    <t>Ordinary Child relief</t>
  </si>
  <si>
    <t>(i) receiving further education in Malaysia in respect of an award of diploma or higher (excluding matriculation/preparatorycourses).</t>
  </si>
  <si>
    <t>(ii) receiving further education outside Malaysia in respect of an award of degree or its equivalent (including Master or Doctorate).</t>
  </si>
  <si>
    <t>(iii) the instruction and educational establishment shall be approved by the relevant government authority.</t>
  </si>
  <si>
    <t>Life insurance dan EPF INCLUDING not through salary deduction</t>
  </si>
  <si>
    <t>3,000 (Limited)</t>
  </si>
  <si>
    <t>Insurance premium for education or medical benefit INCLUDING not through salary deduction</t>
  </si>
  <si>
    <t>250 (Limited)</t>
  </si>
  <si>
    <t>Year of Assessment 2017</t>
  </si>
  <si>
    <t>Complete medical examination for self, spouse, child</t>
  </si>
  <si>
    <t>500 (Limited)</t>
  </si>
  <si>
    <t>Net saving in SSPN's scheme (total deposit in year 2017 MINUS total withdrawal in year 2017)</t>
  </si>
  <si>
    <t>Year of Assessment 2016</t>
  </si>
  <si>
    <t xml:space="preserve">Basic supporting equipment </t>
  </si>
  <si>
    <t>Education Fees (Individual)</t>
  </si>
  <si>
    <t>Medical expenses for serious diseases</t>
  </si>
  <si>
    <t>Complete medical examination</t>
  </si>
  <si>
    <t>Purchase of books, journals, magazines and publications</t>
  </si>
  <si>
    <t>Purchase of personal computer (once in every 3 years)</t>
  </si>
  <si>
    <t>Net saving in SSPN's scheme (with effect from year assessment 2012 until year assessment 2017)</t>
  </si>
  <si>
    <t>Purchase of sport equipment for sport activities</t>
  </si>
  <si>
    <t>300 (Limited)</t>
  </si>
  <si>
    <t>Interest expended to finance purchase of residential property. Relief of up to RM10,000 a year for three consecutive years from the first year the interest is paid.</t>
  </si>
  <si>
    <t>Subject to the following conditions:</t>
  </si>
  <si>
    <t>(i) the taxpayer is a Malaysian citizen and a resident;</t>
  </si>
  <si>
    <t>(ii) limited to one residential unit;</t>
  </si>
  <si>
    <t>(iii) the sale and purchase agreement is signed between 10th March 2009</t>
  </si>
  <si>
    <t>and 31st December 2010; and</t>
  </si>
  <si>
    <t>(iv) the residential property is not rented out.</t>
  </si>
  <si>
    <t>Where:</t>
  </si>
  <si>
    <t>(a) 2 or more individuals are eligible to claim relief for the same property ; and</t>
  </si>
  <si>
    <t>(b) total interest expended by those individuals exceeds the allowable amount for that year. Each individual is allowed an amount of relief for each year based on the following formula:</t>
  </si>
  <si>
    <t>A x B</t>
  </si>
  <si>
    <t>C</t>
  </si>
  <si>
    <t>where;</t>
  </si>
  <si>
    <t>A = total interest allowable in the relevant year;</t>
  </si>
  <si>
    <t>B = total interest expended by the relevant individual in the relevant year;</t>
  </si>
  <si>
    <t>C = total interest expended by all the individuals.</t>
  </si>
  <si>
    <t>(Limited)</t>
  </si>
  <si>
    <t>Life insurance dan EPF</t>
  </si>
  <si>
    <t>Insurance premium for education or medical benefit</t>
  </si>
  <si>
    <t xml:space="preserve">Year of Assessment 2010, 2011, 2012, 2013, 2014 &amp; 2015 </t>
  </si>
  <si>
    <t xml:space="preserve">Special relief of RM2,000 will be given to tax payers earning on income of up to RM8,000 per month (aggregate income of up to RM96,000 annually). This relief is applicable for Year Assessment 2013 and 2015 only. </t>
  </si>
  <si>
    <t>Basic supporting equipment</t>
  </si>
  <si>
    <t>i) 5,000 (Limited) - year of assessment 2014 and before</t>
  </si>
  <si>
    <t>ii) 6,000 (Limited) - with effect from year of assessment 2015</t>
  </si>
  <si>
    <t>Net saving in SSPN's scheme</t>
  </si>
  <si>
    <t>Subscription fees for broadband registered in the name of the individual (with effect from year of assessment 2010 - 2012)</t>
  </si>
  <si>
    <t>10,000 (Limited)</t>
  </si>
  <si>
    <t>(with effect from year of assessment 2013)</t>
  </si>
  <si>
    <t>Additional exemption of RM4,000 disable child age 18 years old and above, not married and pursuing diplomas or above qualification in Malaysia @ bachelor degree or above outside Malaysia in program and in Higher Education Institute that is accredited by related Government authorities</t>
  </si>
  <si>
    <t>With effect from year of assessment 2013 additional exemption is RM6,000</t>
  </si>
  <si>
    <t>i) 5,000 - year of assessment 2014 and before</t>
  </si>
  <si>
    <t>ii) 6,000 - with effect from year of assessment 2015</t>
  </si>
  <si>
    <t>Premium on new annuity scheme or additional premium paid on existing annuity scheme commencing payment from 01/01/2010 (amount exceeding RM1,000 can be claimed together with life insurance premium) - deleted from year assessment 2012 until year assessment 2021</t>
  </si>
  <si>
    <t>Year of Assessment 2009</t>
  </si>
  <si>
    <t>Purchase of personal computer</t>
  </si>
  <si>
    <t>Assessment Year 2020</t>
  </si>
  <si>
    <t>Chargeable Income</t>
  </si>
  <si>
    <t>Calculations (RM)</t>
  </si>
  <si>
    <t>Rate %</t>
  </si>
  <si>
    <t>Tax(RM)</t>
  </si>
  <si>
    <t>0 - 5,000</t>
  </si>
  <si>
    <t>On the First 5,000</t>
  </si>
  <si>
    <t>5,001 - 20,000</t>
  </si>
  <si>
    <t>Next 15,000</t>
  </si>
  <si>
    <t>20,001 - 35,000</t>
  </si>
  <si>
    <t>On the First 20,000</t>
  </si>
  <si>
    <t>35,001 - 50,000</t>
  </si>
  <si>
    <t>On the First 35,000</t>
  </si>
  <si>
    <t>50,001 - 70,000</t>
  </si>
  <si>
    <t>On the First 50,000</t>
  </si>
  <si>
    <t>Next 20,000</t>
  </si>
  <si>
    <t>70,001 - 100,000</t>
  </si>
  <si>
    <t>On the First 70,000</t>
  </si>
  <si>
    <t>Next 30,000</t>
  </si>
  <si>
    <t>100,001 - 250,000</t>
  </si>
  <si>
    <t>On the First 100,000</t>
  </si>
  <si>
    <t>Next 150,000</t>
  </si>
  <si>
    <t>250,001 - 400,000</t>
  </si>
  <si>
    <t>On the First 250,000</t>
  </si>
  <si>
    <t>400,001 - 600,000</t>
  </si>
  <si>
    <t>On the First 400,000</t>
  </si>
  <si>
    <t>Next 200,000</t>
  </si>
  <si>
    <t>600,001 - 1,000,000</t>
  </si>
  <si>
    <t>On the First 600,000</t>
  </si>
  <si>
    <t>Next 400,000</t>
  </si>
  <si>
    <t>1,000,001 - 2,000,000</t>
  </si>
  <si>
    <t>On the First 1,000,000</t>
  </si>
  <si>
    <t>Next 1,000,000</t>
  </si>
  <si>
    <t>Exceeding 2,000,000</t>
  </si>
  <si>
    <t>On the First 2,000,000</t>
  </si>
  <si>
    <t>Next ringgit</t>
  </si>
  <si>
    <t>..........</t>
  </si>
  <si>
    <t>Assessment Year 2018-2019</t>
  </si>
  <si>
    <t>104,00</t>
  </si>
  <si>
    <t>Exceeding 1,000,000</t>
  </si>
  <si>
    <t>Assessment Year 2016 &amp; 2017</t>
  </si>
  <si>
    <t>On the First 2,500</t>
  </si>
  <si>
    <t>Assessment Year 2015</t>
  </si>
  <si>
    <t>0 - 2500</t>
  </si>
  <si>
    <t>2,501 - 5,000</t>
  </si>
  <si>
    <t>Next 2,500</t>
  </si>
  <si>
    <t>5,001 - 10,000</t>
  </si>
  <si>
    <t>Next 5,000</t>
  </si>
  <si>
    <t>10,001 - 20,000</t>
  </si>
  <si>
    <t>On the First 10,000</t>
  </si>
  <si>
    <t>Next 10,000</t>
  </si>
  <si>
    <t>100,001 - 150,000</t>
  </si>
  <si>
    <t>Next 50,000</t>
  </si>
  <si>
    <t>150,001 - 250,000</t>
  </si>
  <si>
    <t>On the First 150,000</t>
  </si>
  <si>
    <t>Next 100,000</t>
  </si>
  <si>
    <t>Exceeding 400,000</t>
  </si>
  <si>
    <t>Next RM</t>
  </si>
  <si>
    <t>Assessment Year 2013 &amp; 2014</t>
  </si>
  <si>
    <t>0-2500</t>
  </si>
  <si>
    <t>2,501-5,000</t>
  </si>
  <si>
    <t>5,001-10,000</t>
  </si>
  <si>
    <t>10,001-20,000</t>
  </si>
  <si>
    <t>20,001-35,000</t>
  </si>
  <si>
    <t>35,001-50,000</t>
  </si>
  <si>
    <t>50,001-70,000</t>
  </si>
  <si>
    <t>70,001-100,000</t>
  </si>
  <si>
    <t>Exceeding 100,000</t>
  </si>
  <si>
    <t>Assessment Year 2010, 2011 &amp; 2012</t>
  </si>
  <si>
    <t xml:space="preserve">Assessment Year 2009 </t>
  </si>
  <si>
    <t>100,001-150,000</t>
  </si>
  <si>
    <t>150,001-250,000</t>
  </si>
  <si>
    <t>Exceeding 250,000</t>
  </si>
  <si>
    <t>Assessment Year 2008</t>
  </si>
  <si>
    <t>On the first 35,000</t>
  </si>
  <si>
    <t>Income Tax Rates</t>
  </si>
  <si>
    <t>Name:</t>
  </si>
  <si>
    <t>Income Tax Filling</t>
  </si>
  <si>
    <t>Age:</t>
  </si>
  <si>
    <t>Identification No:</t>
  </si>
  <si>
    <t>Income Tax No:</t>
  </si>
  <si>
    <t>Individual Particulars</t>
  </si>
  <si>
    <t>Income and Household</t>
  </si>
  <si>
    <t>RM</t>
  </si>
  <si>
    <t>Your marital status</t>
  </si>
  <si>
    <t>How many children do you have?</t>
  </si>
  <si>
    <t>How many of them attending college / university?</t>
  </si>
  <si>
    <t>Do you have any disabled family members?</t>
  </si>
  <si>
    <t>Do you provide for your parents?</t>
  </si>
  <si>
    <t>I pay for my own education</t>
  </si>
  <si>
    <t>Education</t>
  </si>
  <si>
    <t>Estimate your Gross Annual Income :</t>
  </si>
  <si>
    <t>Annual education insurance premium for my children :</t>
  </si>
  <si>
    <t>Annual life insurance premium :</t>
  </si>
  <si>
    <t>Annual medical insurance premium :</t>
  </si>
  <si>
    <t>Annual PRS contribution :</t>
  </si>
  <si>
    <t>Insurance &amp; Retirement</t>
  </si>
  <si>
    <t>Medical Expenses</t>
  </si>
  <si>
    <t>Have you spent on these items this year?</t>
  </si>
  <si>
    <t>Other Purchases</t>
  </si>
  <si>
    <t>Annual Income Tax Calculation</t>
  </si>
  <si>
    <r>
      <t xml:space="preserve">Medical treatment, special needs and carer expenses for parents </t>
    </r>
    <r>
      <rPr>
        <sz val="8"/>
        <color theme="1"/>
        <rFont val="Times New Roman"/>
        <family val="1"/>
      </rPr>
      <t>(Medical condition certified by medical practitioner)</t>
    </r>
  </si>
  <si>
    <r>
      <t xml:space="preserve">Parent </t>
    </r>
    <r>
      <rPr>
        <sz val="8"/>
        <color theme="1"/>
        <rFont val="Times New Roman"/>
        <family val="1"/>
      </rPr>
      <t>(Restricted to 1.500 for only one mother or father)</t>
    </r>
  </si>
  <si>
    <t>Gross Income</t>
  </si>
  <si>
    <t>(Masters or Doctorate level, orany certification related to science, technology, law, accounting, Islamic financing, and vocational fields)</t>
  </si>
  <si>
    <t>(Kindergartens &amp; Childcare Centres)</t>
  </si>
  <si>
    <t>(On books, magazines, computing devices, smartphones, sports equipment, and Internet bills)</t>
  </si>
  <si>
    <t>(and stayed at premises registered with MOTAC)</t>
  </si>
  <si>
    <t>Medical expenses for serious diseases or fertility treatment for self, spouse or child</t>
  </si>
  <si>
    <t xml:space="preserve">Lifestyle â Expenses for the use / benefit of self, spouse or child </t>
  </si>
  <si>
    <t xml:space="preserve">Lifestyle â Purchase of personal computer, smartphone or tablet for self, spouse or child </t>
  </si>
  <si>
    <t>Annual contribution to my children's SSPN-i account :</t>
  </si>
  <si>
    <t xml:space="preserve">Skim Simpanan Pendidikan Nasional </t>
  </si>
  <si>
    <t>Number of disabled children</t>
  </si>
  <si>
    <t>Number of disabled children who pursuing education</t>
  </si>
  <si>
    <t xml:space="preserve">Purchase of breastfeeding equipment for own use for a child aged 2 years and below </t>
  </si>
  <si>
    <t>Life insurance</t>
  </si>
  <si>
    <t>EPF</t>
  </si>
  <si>
    <t xml:space="preserve">Education and medical insurance </t>
  </si>
  <si>
    <t xml:space="preserve">Deferred Annuity and Private Retirement Scheme (PRS) </t>
  </si>
  <si>
    <t>SOCSO</t>
  </si>
  <si>
    <t xml:space="preserve">Payment for accommodation at premises registered with the Commissioner of Tourism </t>
  </si>
  <si>
    <t>Total Tax Relief</t>
  </si>
  <si>
    <t>Total Chargeable Income</t>
  </si>
  <si>
    <t>Tax Payable</t>
  </si>
  <si>
    <t>Net Tax Payable</t>
  </si>
  <si>
    <t>Chargeable income (RM)</t>
  </si>
  <si>
    <t>Next tax bracket (RM)</t>
  </si>
  <si>
    <t>Rate</t>
  </si>
  <si>
    <t>Accumulated Tax (RM)</t>
  </si>
  <si>
    <t>From</t>
  </si>
  <si>
    <t>To</t>
  </si>
  <si>
    <t>or higher</t>
  </si>
  <si>
    <t>Each unmarried child under or above the age of 18 years old</t>
  </si>
  <si>
    <t>Each unmarried child above the age of 18 years old pursuing education</t>
  </si>
  <si>
    <t>Each unmarried disabled child under or above the age of 18 years old</t>
  </si>
  <si>
    <t>Each unmarried disabled child above the age of 18 years old pursuing education</t>
  </si>
  <si>
    <t>Tain Aik Siang</t>
  </si>
  <si>
    <t>XXXXXX-XX-XXXX</t>
  </si>
  <si>
    <t xml:space="preserve">Check where applicable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</si>
</sst>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sz val="12"/>
      <color theme="1"/>
      <name val="Times New Roman"/>
      <family val="1"/>
    </font>
    <font>
      <b/>
      <sz val="12"/>
      <color theme="1"/>
      <name val="Times New Roman"/>
      <family val="1"/>
    </font>
    <font>
      <sz val="11"/>
      <color theme="1"/>
      <name val="Calibri"/>
      <family val="2"/>
      <scheme val="minor"/>
    </font>
    <font>
      <i/>
      <sz val="11"/>
      <color rgb="FF7F7F7F"/>
      <name val="Calibri"/>
      <family val="2"/>
      <scheme val="minor"/>
    </font>
    <font>
      <sz val="11"/>
      <color theme="1"/>
      <name val="Times New Roman"/>
      <family val="1"/>
    </font>
    <font>
      <i/>
      <sz val="11"/>
      <color rgb="FF7F7F7F"/>
      <name val="Times New Roman"/>
      <family val="1"/>
    </font>
    <font>
      <b/>
      <sz val="11"/>
      <color theme="1"/>
      <name val="Times New Roman"/>
      <family val="1"/>
    </font>
    <font>
      <sz val="8"/>
      <color theme="1"/>
      <name val="Times New Roman"/>
      <family val="1"/>
    </font>
    <font>
      <sz val="9"/>
      <color indexed="81"/>
      <name val="Tahoma"/>
      <family val="2"/>
    </font>
    <font>
      <sz val="9"/>
      <color indexed="81"/>
      <name val="Times New Roman"/>
      <family val="1"/>
    </font>
    <font>
      <sz val="9"/>
      <color theme="1"/>
      <name val="Times New Roman"/>
      <family val="1"/>
    </font>
    <font>
      <b/>
      <sz val="11"/>
      <color rgb="FFFA7D00"/>
      <name val="Calibri"/>
      <family val="2"/>
      <scheme val="minor"/>
    </font>
    <font>
      <b/>
      <sz val="11"/>
      <color theme="1"/>
      <name val="Calibri"/>
      <family val="2"/>
      <scheme val="minor"/>
    </font>
    <font>
      <b/>
      <u/>
      <sz val="11"/>
      <color theme="1"/>
      <name val="Times New Roman"/>
      <family val="1"/>
    </font>
    <font>
      <b/>
      <sz val="12"/>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rgb="FFFFFFCC"/>
      </patternFill>
    </fill>
    <fill>
      <patternFill patternType="solid">
        <fgColor theme="1"/>
        <bgColor indexed="64"/>
      </patternFill>
    </fill>
    <fill>
      <patternFill patternType="solid">
        <fgColor rgb="FFF2F2F2"/>
      </patternFill>
    </fill>
    <fill>
      <patternFill patternType="solid">
        <fgColor theme="4" tint="0.59999389629810485"/>
        <bgColor indexed="64"/>
      </patternFill>
    </fill>
    <fill>
      <patternFill patternType="solid">
        <fgColor theme="4" tint="0.79998168889431442"/>
        <bgColor indexed="64"/>
      </patternFill>
    </fill>
  </fills>
  <borders count="26">
    <border>
      <left/>
      <right/>
      <top/>
      <bottom/>
      <diagonal/>
    </border>
    <border>
      <left/>
      <right style="thin">
        <color rgb="FF000000"/>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right/>
      <top/>
      <bottom style="medium">
        <color indexed="64"/>
      </bottom>
      <diagonal/>
    </border>
    <border>
      <left/>
      <right style="medium">
        <color indexed="64"/>
      </right>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right/>
      <top style="medium">
        <color indexed="64"/>
      </top>
      <bottom/>
      <diagonal/>
    </border>
    <border>
      <left style="medium">
        <color indexed="64"/>
      </left>
      <right/>
      <top/>
      <bottom/>
      <diagonal/>
    </border>
  </borders>
  <cellStyleXfs count="4">
    <xf numFmtId="0" fontId="0" fillId="0" borderId="0"/>
    <xf numFmtId="0" fontId="3" fillId="3" borderId="17" applyNumberFormat="0" applyFont="0" applyAlignment="0" applyProtection="0"/>
    <xf numFmtId="0" fontId="4" fillId="0" borderId="0" applyNumberFormat="0" applyFill="0" applyBorder="0" applyAlignment="0" applyProtection="0"/>
    <xf numFmtId="0" fontId="12" fillId="5" borderId="23" applyNumberFormat="0" applyAlignment="0" applyProtection="0"/>
  </cellStyleXfs>
  <cellXfs count="108">
    <xf numFmtId="0" fontId="0" fillId="0" borderId="0" xfId="0"/>
    <xf numFmtId="0" fontId="1" fillId="0" borderId="0" xfId="0" applyFont="1"/>
    <xf numFmtId="3" fontId="1" fillId="0" borderId="0" xfId="0" applyNumberFormat="1" applyFont="1"/>
    <xf numFmtId="0" fontId="1" fillId="0" borderId="1" xfId="0" applyFont="1" applyBorder="1"/>
    <xf numFmtId="3" fontId="1" fillId="0" borderId="1" xfId="0" applyNumberFormat="1" applyFont="1" applyBorder="1"/>
    <xf numFmtId="0" fontId="2" fillId="0" borderId="0" xfId="0" applyFont="1"/>
    <xf numFmtId="0" fontId="1" fillId="0" borderId="0" xfId="0" applyFont="1" applyBorder="1"/>
    <xf numFmtId="0" fontId="1" fillId="0" borderId="6" xfId="0" applyFont="1" applyBorder="1" applyAlignment="1">
      <alignment horizontal="center"/>
    </xf>
    <xf numFmtId="3" fontId="1" fillId="0" borderId="7" xfId="0" applyNumberFormat="1" applyFont="1" applyBorder="1" applyAlignment="1">
      <alignment horizontal="center"/>
    </xf>
    <xf numFmtId="0" fontId="1" fillId="0" borderId="9" xfId="0" applyFont="1" applyBorder="1"/>
    <xf numFmtId="0" fontId="1" fillId="0" borderId="11" xfId="0" applyFont="1" applyBorder="1"/>
    <xf numFmtId="0" fontId="1" fillId="0" borderId="2" xfId="0" applyFont="1" applyBorder="1" applyAlignment="1">
      <alignment horizontal="center"/>
    </xf>
    <xf numFmtId="0" fontId="1" fillId="0" borderId="2" xfId="0" applyFont="1" applyBorder="1"/>
    <xf numFmtId="3" fontId="1" fillId="0" borderId="2" xfId="0" applyNumberFormat="1" applyFont="1" applyBorder="1" applyAlignment="1">
      <alignment horizontal="center"/>
    </xf>
    <xf numFmtId="0" fontId="1" fillId="0" borderId="3" xfId="0" applyFont="1" applyBorder="1" applyAlignment="1">
      <alignment horizontal="center"/>
    </xf>
    <xf numFmtId="0" fontId="1" fillId="0" borderId="5" xfId="0" applyFont="1" applyBorder="1" applyAlignment="1">
      <alignment horizontal="center"/>
    </xf>
    <xf numFmtId="0" fontId="1" fillId="0" borderId="8" xfId="0" applyFont="1" applyBorder="1" applyAlignment="1">
      <alignment horizontal="center"/>
    </xf>
    <xf numFmtId="0" fontId="1" fillId="0" borderId="10" xfId="0" applyFont="1" applyBorder="1" applyAlignment="1">
      <alignment horizontal="center"/>
    </xf>
    <xf numFmtId="3" fontId="1" fillId="0" borderId="5" xfId="0" applyNumberFormat="1" applyFont="1" applyBorder="1" applyAlignment="1">
      <alignment horizontal="center"/>
    </xf>
    <xf numFmtId="3" fontId="1" fillId="0" borderId="10" xfId="0" applyNumberFormat="1" applyFont="1" applyBorder="1" applyAlignment="1">
      <alignment horizontal="center"/>
    </xf>
    <xf numFmtId="0" fontId="1" fillId="2" borderId="14" xfId="0" applyFont="1" applyFill="1" applyBorder="1"/>
    <xf numFmtId="0" fontId="1" fillId="0" borderId="14" xfId="0" applyFont="1"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1" fillId="0" borderId="14" xfId="0" applyFont="1" applyBorder="1"/>
    <xf numFmtId="0" fontId="1" fillId="0" borderId="15" xfId="0" applyFont="1" applyBorder="1"/>
    <xf numFmtId="0" fontId="1" fillId="0" borderId="16" xfId="0" applyFont="1" applyBorder="1"/>
    <xf numFmtId="3" fontId="1" fillId="0" borderId="15" xfId="0" applyNumberFormat="1" applyFont="1" applyBorder="1" applyAlignment="1">
      <alignment horizontal="center"/>
    </xf>
    <xf numFmtId="3" fontId="1" fillId="0" borderId="14" xfId="0" applyNumberFormat="1" applyFont="1" applyBorder="1" applyAlignment="1">
      <alignment horizontal="center"/>
    </xf>
    <xf numFmtId="3" fontId="1" fillId="0" borderId="16" xfId="0" applyNumberFormat="1" applyFont="1" applyBorder="1" applyAlignment="1">
      <alignment horizont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1" fillId="0" borderId="0" xfId="0" applyFont="1" applyBorder="1" applyAlignment="1">
      <alignment horizontal="center"/>
    </xf>
    <xf numFmtId="0" fontId="1" fillId="0" borderId="9" xfId="0" applyFont="1" applyBorder="1" applyAlignment="1">
      <alignment horizontal="center"/>
    </xf>
    <xf numFmtId="0" fontId="1" fillId="2" borderId="11"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0" borderId="4" xfId="0" applyFont="1" applyBorder="1" applyAlignment="1">
      <alignment horizontal="center"/>
    </xf>
    <xf numFmtId="0" fontId="5" fillId="0" borderId="0" xfId="0" applyFont="1" applyProtection="1"/>
    <xf numFmtId="0" fontId="5" fillId="0" borderId="18" xfId="0" applyFont="1" applyBorder="1" applyProtection="1"/>
    <xf numFmtId="0" fontId="5" fillId="0" borderId="0" xfId="0" applyFont="1" applyBorder="1" applyProtection="1"/>
    <xf numFmtId="0" fontId="5" fillId="0" borderId="19" xfId="0" applyFont="1" applyBorder="1" applyProtection="1"/>
    <xf numFmtId="0" fontId="5" fillId="0" borderId="20" xfId="0" applyFont="1" applyBorder="1" applyProtection="1"/>
    <xf numFmtId="0" fontId="2" fillId="0" borderId="0" xfId="0" applyFont="1" applyProtection="1"/>
    <xf numFmtId="0" fontId="6" fillId="0" borderId="0" xfId="2" applyFont="1" applyProtection="1"/>
    <xf numFmtId="0" fontId="5" fillId="0" borderId="0" xfId="0" applyFont="1"/>
    <xf numFmtId="0" fontId="5" fillId="0" borderId="3" xfId="0" applyFont="1" applyBorder="1"/>
    <xf numFmtId="0" fontId="5" fillId="0" borderId="4" xfId="0" applyFont="1" applyBorder="1"/>
    <xf numFmtId="0" fontId="5" fillId="0" borderId="5" xfId="0" applyFont="1" applyBorder="1"/>
    <xf numFmtId="0" fontId="5" fillId="0" borderId="6" xfId="0" applyFont="1" applyBorder="1" applyProtection="1"/>
    <xf numFmtId="0" fontId="5" fillId="3" borderId="17" xfId="1" applyFont="1" applyBorder="1"/>
    <xf numFmtId="0" fontId="5" fillId="0" borderId="0" xfId="0" applyFont="1" applyBorder="1"/>
    <xf numFmtId="0" fontId="5" fillId="0" borderId="7" xfId="0" applyFont="1" applyBorder="1"/>
    <xf numFmtId="0" fontId="5" fillId="0" borderId="6" xfId="0" applyFont="1" applyBorder="1"/>
    <xf numFmtId="0" fontId="5" fillId="0" borderId="8" xfId="0" applyFont="1" applyBorder="1"/>
    <xf numFmtId="0" fontId="5" fillId="0" borderId="9" xfId="0" applyFont="1" applyBorder="1"/>
    <xf numFmtId="0" fontId="5" fillId="0" borderId="10" xfId="0" applyFont="1" applyBorder="1"/>
    <xf numFmtId="164" fontId="5" fillId="0" borderId="0" xfId="0" applyNumberFormat="1" applyFont="1" applyBorder="1" applyAlignment="1">
      <alignment horizontal="left"/>
    </xf>
    <xf numFmtId="0" fontId="5" fillId="0" borderId="19" xfId="0" applyFont="1" applyBorder="1"/>
    <xf numFmtId="0" fontId="5" fillId="0" borderId="21" xfId="0" applyFont="1" applyBorder="1"/>
    <xf numFmtId="0" fontId="5" fillId="0" borderId="22" xfId="0" applyFont="1" applyBorder="1"/>
    <xf numFmtId="0" fontId="5" fillId="4" borderId="0" xfId="0" applyFont="1" applyFill="1"/>
    <xf numFmtId="0" fontId="8" fillId="0" borderId="0" xfId="0" applyFont="1" applyBorder="1"/>
    <xf numFmtId="0" fontId="5" fillId="0" borderId="14" xfId="0" applyFont="1" applyBorder="1"/>
    <xf numFmtId="0" fontId="5" fillId="3" borderId="17" xfId="1" applyFont="1" applyBorder="1" applyProtection="1"/>
    <xf numFmtId="0" fontId="5" fillId="0" borderId="24" xfId="0" applyFont="1" applyBorder="1" applyProtection="1"/>
    <xf numFmtId="0" fontId="5" fillId="0" borderId="25" xfId="0" applyFont="1" applyBorder="1" applyProtection="1"/>
    <xf numFmtId="0" fontId="5" fillId="0" borderId="25" xfId="0" applyFont="1" applyBorder="1"/>
    <xf numFmtId="0" fontId="5" fillId="0" borderId="18" xfId="0" applyFont="1" applyBorder="1"/>
    <xf numFmtId="0" fontId="5" fillId="2" borderId="11" xfId="0" applyFont="1" applyFill="1" applyBorder="1"/>
    <xf numFmtId="0" fontId="11" fillId="0" borderId="3" xfId="0" applyFont="1" applyBorder="1"/>
    <xf numFmtId="0" fontId="5" fillId="2" borderId="6" xfId="0" applyFont="1" applyFill="1" applyBorder="1"/>
    <xf numFmtId="0" fontId="7" fillId="2" borderId="0" xfId="0" applyFont="1" applyFill="1" applyBorder="1"/>
    <xf numFmtId="0" fontId="5" fillId="2" borderId="0" xfId="0" applyFont="1" applyFill="1" applyBorder="1"/>
    <xf numFmtId="0" fontId="7" fillId="0" borderId="8" xfId="0" applyFont="1" applyBorder="1"/>
    <xf numFmtId="0" fontId="14" fillId="0" borderId="4" xfId="0" applyFont="1" applyBorder="1"/>
    <xf numFmtId="164" fontId="5" fillId="2" borderId="7" xfId="0" applyNumberFormat="1" applyFont="1" applyFill="1" applyBorder="1" applyAlignment="1">
      <alignment horizontal="left"/>
    </xf>
    <xf numFmtId="0" fontId="13" fillId="5" borderId="0" xfId="3" applyFont="1" applyBorder="1"/>
    <xf numFmtId="0" fontId="1" fillId="6" borderId="11" xfId="0" applyFont="1" applyFill="1" applyBorder="1" applyAlignment="1">
      <alignment horizontal="center" vertical="center"/>
    </xf>
    <xf numFmtId="0" fontId="1" fillId="6" borderId="13" xfId="0" applyFont="1" applyFill="1" applyBorder="1" applyAlignment="1">
      <alignment horizontal="center" vertical="center"/>
    </xf>
    <xf numFmtId="0" fontId="1" fillId="6" borderId="1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12" xfId="0" applyFont="1" applyFill="1" applyBorder="1" applyAlignment="1">
      <alignment horizontal="center" vertical="center"/>
    </xf>
    <xf numFmtId="0" fontId="1" fillId="6" borderId="16" xfId="0" applyFont="1" applyFill="1" applyBorder="1" applyAlignment="1">
      <alignment horizontal="center" vertical="center"/>
    </xf>
    <xf numFmtId="0" fontId="1" fillId="7" borderId="15" xfId="0" applyFont="1" applyFill="1" applyBorder="1" applyAlignment="1">
      <alignment horizontal="center" vertical="center"/>
    </xf>
    <xf numFmtId="0" fontId="1" fillId="7" borderId="7" xfId="0" applyFont="1" applyFill="1" applyBorder="1" applyAlignment="1">
      <alignment horizontal="center" vertical="center"/>
    </xf>
    <xf numFmtId="0" fontId="1" fillId="7" borderId="14" xfId="0" applyFont="1" applyFill="1" applyBorder="1" applyAlignment="1">
      <alignment horizontal="center" vertical="center"/>
    </xf>
    <xf numFmtId="0" fontId="1" fillId="0" borderId="7" xfId="0" applyFont="1" applyBorder="1" applyAlignment="1">
      <alignment horizontal="center" vertical="center"/>
    </xf>
    <xf numFmtId="0" fontId="1" fillId="0" borderId="10" xfId="0" applyFont="1" applyBorder="1" applyAlignment="1">
      <alignment horizontal="center" vertical="center"/>
    </xf>
    <xf numFmtId="164" fontId="13" fillId="5" borderId="7" xfId="3" applyNumberFormat="1" applyFont="1" applyBorder="1" applyAlignment="1">
      <alignment horizontal="left"/>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7" fillId="2" borderId="12" xfId="0" applyFont="1" applyFill="1" applyBorder="1"/>
    <xf numFmtId="0" fontId="5" fillId="2" borderId="12" xfId="0" applyFont="1" applyFill="1" applyBorder="1"/>
    <xf numFmtId="0" fontId="13" fillId="5" borderId="12" xfId="3" applyFont="1" applyBorder="1"/>
    <xf numFmtId="164" fontId="13" fillId="5" borderId="13" xfId="3" applyNumberFormat="1" applyFont="1" applyBorder="1" applyAlignment="1">
      <alignment horizontal="left"/>
    </xf>
    <xf numFmtId="0" fontId="5" fillId="0" borderId="16" xfId="0" applyFont="1" applyBorder="1"/>
    <xf numFmtId="0" fontId="5" fillId="0" borderId="15" xfId="0" applyFont="1" applyBorder="1"/>
    <xf numFmtId="0" fontId="11" fillId="0" borderId="14" xfId="0" applyFont="1" applyBorder="1"/>
    <xf numFmtId="0" fontId="1" fillId="2" borderId="8" xfId="0" applyFont="1" applyFill="1" applyBorder="1"/>
    <xf numFmtId="0" fontId="2" fillId="2" borderId="9" xfId="0" applyFont="1" applyFill="1" applyBorder="1"/>
    <xf numFmtId="0" fontId="1" fillId="2" borderId="9" xfId="0" applyFont="1" applyFill="1" applyBorder="1"/>
    <xf numFmtId="0" fontId="15" fillId="2" borderId="9" xfId="3" applyFont="1" applyFill="1" applyBorder="1"/>
    <xf numFmtId="0" fontId="5" fillId="3" borderId="17" xfId="1" applyFont="1" applyBorder="1" applyAlignment="1">
      <alignment horizontal="left"/>
    </xf>
    <xf numFmtId="2" fontId="15" fillId="2" borderId="12" xfId="3" applyNumberFormat="1" applyFont="1" applyFill="1" applyBorder="1" applyAlignment="1">
      <alignment horizontal="center"/>
    </xf>
    <xf numFmtId="2" fontId="15" fillId="2" borderId="13" xfId="3" applyNumberFormat="1" applyFont="1" applyFill="1" applyBorder="1" applyAlignment="1">
      <alignment horizontal="center"/>
    </xf>
  </cellXfs>
  <cellStyles count="4">
    <cellStyle name="Calculation" xfId="3" builtinId="22"/>
    <cellStyle name="Explanatory Text" xfId="2" builtinId="53"/>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6.emf"/><Relationship Id="rId18" Type="http://schemas.openxmlformats.org/officeDocument/2006/relationships/image" Target="../media/image1.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2.emf"/><Relationship Id="rId16" Type="http://schemas.openxmlformats.org/officeDocument/2006/relationships/image" Target="../media/image3.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8.emf"/><Relationship Id="rId5" Type="http://schemas.openxmlformats.org/officeDocument/2006/relationships/image" Target="../media/image15.emf"/><Relationship Id="rId15" Type="http://schemas.openxmlformats.org/officeDocument/2006/relationships/image" Target="../media/image4.emf"/><Relationship Id="rId10" Type="http://schemas.openxmlformats.org/officeDocument/2006/relationships/image" Target="../media/image9.emf"/><Relationship Id="rId19" Type="http://schemas.openxmlformats.org/officeDocument/2006/relationships/image" Target="../media/image19.emf"/><Relationship Id="rId4" Type="http://schemas.openxmlformats.org/officeDocument/2006/relationships/image" Target="../media/image14.emf"/><Relationship Id="rId9" Type="http://schemas.openxmlformats.org/officeDocument/2006/relationships/image" Target="../media/image10.emf"/><Relationship Id="rId1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1.emf"/><Relationship Id="rId13" Type="http://schemas.openxmlformats.org/officeDocument/2006/relationships/image" Target="../media/image26.emf"/><Relationship Id="rId18" Type="http://schemas.openxmlformats.org/officeDocument/2006/relationships/image" Target="../media/image21.emf"/><Relationship Id="rId3" Type="http://schemas.openxmlformats.org/officeDocument/2006/relationships/image" Target="../media/image36.emf"/><Relationship Id="rId7" Type="http://schemas.openxmlformats.org/officeDocument/2006/relationships/image" Target="../media/image32.emf"/><Relationship Id="rId12" Type="http://schemas.openxmlformats.org/officeDocument/2006/relationships/image" Target="../media/image27.emf"/><Relationship Id="rId17" Type="http://schemas.openxmlformats.org/officeDocument/2006/relationships/image" Target="../media/image22.emf"/><Relationship Id="rId2" Type="http://schemas.openxmlformats.org/officeDocument/2006/relationships/image" Target="../media/image37.emf"/><Relationship Id="rId16" Type="http://schemas.openxmlformats.org/officeDocument/2006/relationships/image" Target="../media/image23.emf"/><Relationship Id="rId1" Type="http://schemas.openxmlformats.org/officeDocument/2006/relationships/image" Target="../media/image38.emf"/><Relationship Id="rId6" Type="http://schemas.openxmlformats.org/officeDocument/2006/relationships/image" Target="../media/image33.emf"/><Relationship Id="rId11" Type="http://schemas.openxmlformats.org/officeDocument/2006/relationships/image" Target="../media/image28.emf"/><Relationship Id="rId5" Type="http://schemas.openxmlformats.org/officeDocument/2006/relationships/image" Target="../media/image34.emf"/><Relationship Id="rId15" Type="http://schemas.openxmlformats.org/officeDocument/2006/relationships/image" Target="../media/image24.emf"/><Relationship Id="rId10" Type="http://schemas.openxmlformats.org/officeDocument/2006/relationships/image" Target="../media/image29.emf"/><Relationship Id="rId19" Type="http://schemas.openxmlformats.org/officeDocument/2006/relationships/image" Target="../media/image20.emf"/><Relationship Id="rId4" Type="http://schemas.openxmlformats.org/officeDocument/2006/relationships/image" Target="../media/image35.emf"/><Relationship Id="rId9" Type="http://schemas.openxmlformats.org/officeDocument/2006/relationships/image" Target="../media/image30.emf"/><Relationship Id="rId14"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15240</xdr:colOff>
          <xdr:row>16</xdr:row>
          <xdr:rowOff>15240</xdr:rowOff>
        </xdr:from>
        <xdr:to>
          <xdr:col>3</xdr:col>
          <xdr:colOff>754380</xdr:colOff>
          <xdr:row>17</xdr:row>
          <xdr:rowOff>0</xdr:rowOff>
        </xdr:to>
        <xdr:sp macro="" textlink="">
          <xdr:nvSpPr>
            <xdr:cNvPr id="1064" name="btnSingle"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15240</xdr:colOff>
          <xdr:row>16</xdr:row>
          <xdr:rowOff>15240</xdr:rowOff>
        </xdr:from>
        <xdr:to>
          <xdr:col>8</xdr:col>
          <xdr:colOff>0</xdr:colOff>
          <xdr:row>16</xdr:row>
          <xdr:rowOff>205740</xdr:rowOff>
        </xdr:to>
        <xdr:sp macro="" textlink="">
          <xdr:nvSpPr>
            <xdr:cNvPr id="1065" name="btnDivorced"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xdr:colOff>
          <xdr:row>16</xdr:row>
          <xdr:rowOff>15240</xdr:rowOff>
        </xdr:from>
        <xdr:to>
          <xdr:col>5</xdr:col>
          <xdr:colOff>601980</xdr:colOff>
          <xdr:row>17</xdr:row>
          <xdr:rowOff>0</xdr:rowOff>
        </xdr:to>
        <xdr:sp macro="" textlink="">
          <xdr:nvSpPr>
            <xdr:cNvPr id="1067" name="btnMarried"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23</xdr:row>
          <xdr:rowOff>7620</xdr:rowOff>
        </xdr:from>
        <xdr:to>
          <xdr:col>3</xdr:col>
          <xdr:colOff>754380</xdr:colOff>
          <xdr:row>24</xdr:row>
          <xdr:rowOff>38100</xdr:rowOff>
        </xdr:to>
        <xdr:sp macro="" textlink="">
          <xdr:nvSpPr>
            <xdr:cNvPr id="1099" name="chkboxSelfDisabled"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23</xdr:row>
          <xdr:rowOff>15240</xdr:rowOff>
        </xdr:from>
        <xdr:to>
          <xdr:col>6</xdr:col>
          <xdr:colOff>601980</xdr:colOff>
          <xdr:row>24</xdr:row>
          <xdr:rowOff>30480</xdr:rowOff>
        </xdr:to>
        <xdr:sp macro="" textlink="">
          <xdr:nvSpPr>
            <xdr:cNvPr id="1100" name="chkboxSpouseDisabled"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xdr:colOff>
          <xdr:row>30</xdr:row>
          <xdr:rowOff>53340</xdr:rowOff>
        </xdr:from>
        <xdr:to>
          <xdr:col>4</xdr:col>
          <xdr:colOff>0</xdr:colOff>
          <xdr:row>31</xdr:row>
          <xdr:rowOff>15240</xdr:rowOff>
        </xdr:to>
        <xdr:sp macro="" textlink="">
          <xdr:nvSpPr>
            <xdr:cNvPr id="1102" name="btnNoProvide"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xdr:colOff>
          <xdr:row>30</xdr:row>
          <xdr:rowOff>60960</xdr:rowOff>
        </xdr:from>
        <xdr:to>
          <xdr:col>5</xdr:col>
          <xdr:colOff>601980</xdr:colOff>
          <xdr:row>31</xdr:row>
          <xdr:rowOff>45720</xdr:rowOff>
        </xdr:to>
        <xdr:sp macro="" textlink="">
          <xdr:nvSpPr>
            <xdr:cNvPr id="1105" name="btn1Provide"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30480</xdr:colOff>
          <xdr:row>30</xdr:row>
          <xdr:rowOff>60960</xdr:rowOff>
        </xdr:from>
        <xdr:to>
          <xdr:col>9</xdr:col>
          <xdr:colOff>617220</xdr:colOff>
          <xdr:row>31</xdr:row>
          <xdr:rowOff>30480</xdr:rowOff>
        </xdr:to>
        <xdr:sp macro="" textlink="">
          <xdr:nvSpPr>
            <xdr:cNvPr id="1107" name="btn2Provide"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xdr:colOff>
          <xdr:row>36</xdr:row>
          <xdr:rowOff>53340</xdr:rowOff>
        </xdr:from>
        <xdr:to>
          <xdr:col>3</xdr:col>
          <xdr:colOff>754380</xdr:colOff>
          <xdr:row>37</xdr:row>
          <xdr:rowOff>38100</xdr:rowOff>
        </xdr:to>
        <xdr:sp macro="" textlink="">
          <xdr:nvSpPr>
            <xdr:cNvPr id="1108" name="btnYesEducation"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xdr:colOff>
          <xdr:row>36</xdr:row>
          <xdr:rowOff>53340</xdr:rowOff>
        </xdr:from>
        <xdr:to>
          <xdr:col>5</xdr:col>
          <xdr:colOff>601980</xdr:colOff>
          <xdr:row>37</xdr:row>
          <xdr:rowOff>38100</xdr:rowOff>
        </xdr:to>
        <xdr:sp macro="" textlink="">
          <xdr:nvSpPr>
            <xdr:cNvPr id="1109" name="btnNoEducation"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55</xdr:row>
          <xdr:rowOff>7620</xdr:rowOff>
        </xdr:from>
        <xdr:to>
          <xdr:col>6</xdr:col>
          <xdr:colOff>0</xdr:colOff>
          <xdr:row>56</xdr:row>
          <xdr:rowOff>0</xdr:rowOff>
        </xdr:to>
        <xdr:sp macro="" textlink="">
          <xdr:nvSpPr>
            <xdr:cNvPr id="1110" name="chkboxMedical1"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56</xdr:row>
          <xdr:rowOff>7620</xdr:rowOff>
        </xdr:from>
        <xdr:to>
          <xdr:col>7</xdr:col>
          <xdr:colOff>0</xdr:colOff>
          <xdr:row>56</xdr:row>
          <xdr:rowOff>205740</xdr:rowOff>
        </xdr:to>
        <xdr:sp macro="" textlink="">
          <xdr:nvSpPr>
            <xdr:cNvPr id="1111" name="chkboxMedical2"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57</xdr:row>
          <xdr:rowOff>7620</xdr:rowOff>
        </xdr:from>
        <xdr:to>
          <xdr:col>7</xdr:col>
          <xdr:colOff>601980</xdr:colOff>
          <xdr:row>57</xdr:row>
          <xdr:rowOff>198120</xdr:rowOff>
        </xdr:to>
        <xdr:sp macro="" textlink="">
          <xdr:nvSpPr>
            <xdr:cNvPr id="1112" name="chkboxMedical3"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63</xdr:row>
          <xdr:rowOff>7620</xdr:rowOff>
        </xdr:from>
        <xdr:to>
          <xdr:col>6</xdr:col>
          <xdr:colOff>0</xdr:colOff>
          <xdr:row>64</xdr:row>
          <xdr:rowOff>0</xdr:rowOff>
        </xdr:to>
        <xdr:sp macro="" textlink="">
          <xdr:nvSpPr>
            <xdr:cNvPr id="1113" name="chkboxOther1"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xdr:row>
          <xdr:rowOff>7620</xdr:rowOff>
        </xdr:from>
        <xdr:to>
          <xdr:col>4</xdr:col>
          <xdr:colOff>746760</xdr:colOff>
          <xdr:row>64</xdr:row>
          <xdr:rowOff>190500</xdr:rowOff>
        </xdr:to>
        <xdr:sp macro="" textlink="">
          <xdr:nvSpPr>
            <xdr:cNvPr id="1114" name="chkboxOther2"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65</xdr:row>
          <xdr:rowOff>7620</xdr:rowOff>
        </xdr:from>
        <xdr:to>
          <xdr:col>5</xdr:col>
          <xdr:colOff>0</xdr:colOff>
          <xdr:row>65</xdr:row>
          <xdr:rowOff>190500</xdr:rowOff>
        </xdr:to>
        <xdr:sp macro="" textlink="">
          <xdr:nvSpPr>
            <xdr:cNvPr id="1115" name="chkboxOther3"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66</xdr:row>
          <xdr:rowOff>7620</xdr:rowOff>
        </xdr:from>
        <xdr:to>
          <xdr:col>11</xdr:col>
          <xdr:colOff>0</xdr:colOff>
          <xdr:row>66</xdr:row>
          <xdr:rowOff>190500</xdr:rowOff>
        </xdr:to>
        <xdr:sp macro="" textlink="">
          <xdr:nvSpPr>
            <xdr:cNvPr id="1116" name="chkboxOther4"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67</xdr:row>
          <xdr:rowOff>7620</xdr:rowOff>
        </xdr:from>
        <xdr:to>
          <xdr:col>8</xdr:col>
          <xdr:colOff>594360</xdr:colOff>
          <xdr:row>67</xdr:row>
          <xdr:rowOff>182880</xdr:rowOff>
        </xdr:to>
        <xdr:sp macro="" textlink="">
          <xdr:nvSpPr>
            <xdr:cNvPr id="1117" name="chkboxOther5"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594360</xdr:colOff>
          <xdr:row>66</xdr:row>
          <xdr:rowOff>190500</xdr:rowOff>
        </xdr:from>
        <xdr:to>
          <xdr:col>17</xdr:col>
          <xdr:colOff>594360</xdr:colOff>
          <xdr:row>68</xdr:row>
          <xdr:rowOff>152400</xdr:rowOff>
        </xdr:to>
        <xdr:sp macro="" textlink="">
          <xdr:nvSpPr>
            <xdr:cNvPr id="1118" name="ResetButton"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15240</xdr:colOff>
          <xdr:row>16</xdr:row>
          <xdr:rowOff>15240</xdr:rowOff>
        </xdr:from>
        <xdr:to>
          <xdr:col>3</xdr:col>
          <xdr:colOff>754380</xdr:colOff>
          <xdr:row>17</xdr:row>
          <xdr:rowOff>0</xdr:rowOff>
        </xdr:to>
        <xdr:sp macro="" textlink="">
          <xdr:nvSpPr>
            <xdr:cNvPr id="9217" name="btnSingle" hidden="1">
              <a:extLst>
                <a:ext uri="{63B3BB69-23CF-44E3-9099-C40C66FF867C}">
                  <a14:compatExt spid="_x0000_s9217"/>
                </a:ext>
                <a:ext uri="{FF2B5EF4-FFF2-40B4-BE49-F238E27FC236}">
                  <a16:creationId xmlns:a16="http://schemas.microsoft.com/office/drawing/2014/main" id="{1C5FF164-4DA8-4E81-B64E-500FB22F4FB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15240</xdr:colOff>
          <xdr:row>16</xdr:row>
          <xdr:rowOff>15240</xdr:rowOff>
        </xdr:from>
        <xdr:to>
          <xdr:col>8</xdr:col>
          <xdr:colOff>0</xdr:colOff>
          <xdr:row>16</xdr:row>
          <xdr:rowOff>205740</xdr:rowOff>
        </xdr:to>
        <xdr:sp macro="" textlink="">
          <xdr:nvSpPr>
            <xdr:cNvPr id="9218" name="btnDivorced" hidden="1">
              <a:extLst>
                <a:ext uri="{63B3BB69-23CF-44E3-9099-C40C66FF867C}">
                  <a14:compatExt spid="_x0000_s9218"/>
                </a:ext>
                <a:ext uri="{FF2B5EF4-FFF2-40B4-BE49-F238E27FC236}">
                  <a16:creationId xmlns:a16="http://schemas.microsoft.com/office/drawing/2014/main" id="{EC387BD9-EDC8-4F07-B287-5F992936537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xdr:colOff>
          <xdr:row>16</xdr:row>
          <xdr:rowOff>15240</xdr:rowOff>
        </xdr:from>
        <xdr:to>
          <xdr:col>5</xdr:col>
          <xdr:colOff>601980</xdr:colOff>
          <xdr:row>17</xdr:row>
          <xdr:rowOff>0</xdr:rowOff>
        </xdr:to>
        <xdr:sp macro="" textlink="">
          <xdr:nvSpPr>
            <xdr:cNvPr id="9219" name="btnMarried" hidden="1">
              <a:extLst>
                <a:ext uri="{63B3BB69-23CF-44E3-9099-C40C66FF867C}">
                  <a14:compatExt spid="_x0000_s9219"/>
                </a:ext>
                <a:ext uri="{FF2B5EF4-FFF2-40B4-BE49-F238E27FC236}">
                  <a16:creationId xmlns:a16="http://schemas.microsoft.com/office/drawing/2014/main" id="{05F36B42-DBE5-454A-99A2-288534E9765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23</xdr:row>
          <xdr:rowOff>7620</xdr:rowOff>
        </xdr:from>
        <xdr:to>
          <xdr:col>3</xdr:col>
          <xdr:colOff>754380</xdr:colOff>
          <xdr:row>24</xdr:row>
          <xdr:rowOff>38100</xdr:rowOff>
        </xdr:to>
        <xdr:sp macro="" textlink="">
          <xdr:nvSpPr>
            <xdr:cNvPr id="9220" name="chkboxSelfDisabled" hidden="1">
              <a:extLst>
                <a:ext uri="{63B3BB69-23CF-44E3-9099-C40C66FF867C}">
                  <a14:compatExt spid="_x0000_s9220"/>
                </a:ext>
                <a:ext uri="{FF2B5EF4-FFF2-40B4-BE49-F238E27FC236}">
                  <a16:creationId xmlns:a16="http://schemas.microsoft.com/office/drawing/2014/main" id="{F3FCFA35-0C48-44E7-8B8C-55EF43668EE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23</xdr:row>
          <xdr:rowOff>15240</xdr:rowOff>
        </xdr:from>
        <xdr:to>
          <xdr:col>6</xdr:col>
          <xdr:colOff>601980</xdr:colOff>
          <xdr:row>24</xdr:row>
          <xdr:rowOff>30480</xdr:rowOff>
        </xdr:to>
        <xdr:sp macro="" textlink="">
          <xdr:nvSpPr>
            <xdr:cNvPr id="9221" name="chkboxSpouseDisabled" hidden="1">
              <a:extLst>
                <a:ext uri="{63B3BB69-23CF-44E3-9099-C40C66FF867C}">
                  <a14:compatExt spid="_x0000_s9221"/>
                </a:ext>
                <a:ext uri="{FF2B5EF4-FFF2-40B4-BE49-F238E27FC236}">
                  <a16:creationId xmlns:a16="http://schemas.microsoft.com/office/drawing/2014/main" id="{5655DC3C-004D-4B15-9DDB-100679D0C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xdr:colOff>
          <xdr:row>30</xdr:row>
          <xdr:rowOff>53340</xdr:rowOff>
        </xdr:from>
        <xdr:to>
          <xdr:col>4</xdr:col>
          <xdr:colOff>0</xdr:colOff>
          <xdr:row>31</xdr:row>
          <xdr:rowOff>15240</xdr:rowOff>
        </xdr:to>
        <xdr:sp macro="" textlink="">
          <xdr:nvSpPr>
            <xdr:cNvPr id="9222" name="btnNoProvide" hidden="1">
              <a:extLst>
                <a:ext uri="{63B3BB69-23CF-44E3-9099-C40C66FF867C}">
                  <a14:compatExt spid="_x0000_s9222"/>
                </a:ext>
                <a:ext uri="{FF2B5EF4-FFF2-40B4-BE49-F238E27FC236}">
                  <a16:creationId xmlns:a16="http://schemas.microsoft.com/office/drawing/2014/main" id="{B65A3C74-7F94-496B-A2FA-E1DCA81B292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xdr:colOff>
          <xdr:row>30</xdr:row>
          <xdr:rowOff>60960</xdr:rowOff>
        </xdr:from>
        <xdr:to>
          <xdr:col>5</xdr:col>
          <xdr:colOff>601980</xdr:colOff>
          <xdr:row>31</xdr:row>
          <xdr:rowOff>45720</xdr:rowOff>
        </xdr:to>
        <xdr:sp macro="" textlink="">
          <xdr:nvSpPr>
            <xdr:cNvPr id="9223" name="btn1Provide" hidden="1">
              <a:extLst>
                <a:ext uri="{63B3BB69-23CF-44E3-9099-C40C66FF867C}">
                  <a14:compatExt spid="_x0000_s9223"/>
                </a:ext>
                <a:ext uri="{FF2B5EF4-FFF2-40B4-BE49-F238E27FC236}">
                  <a16:creationId xmlns:a16="http://schemas.microsoft.com/office/drawing/2014/main" id="{51EA7AEB-4434-42AA-ABEE-F64E8008A17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30480</xdr:colOff>
          <xdr:row>30</xdr:row>
          <xdr:rowOff>60960</xdr:rowOff>
        </xdr:from>
        <xdr:to>
          <xdr:col>9</xdr:col>
          <xdr:colOff>617220</xdr:colOff>
          <xdr:row>31</xdr:row>
          <xdr:rowOff>30480</xdr:rowOff>
        </xdr:to>
        <xdr:sp macro="" textlink="">
          <xdr:nvSpPr>
            <xdr:cNvPr id="9224" name="btn2Provide" hidden="1">
              <a:extLst>
                <a:ext uri="{63B3BB69-23CF-44E3-9099-C40C66FF867C}">
                  <a14:compatExt spid="_x0000_s9224"/>
                </a:ext>
                <a:ext uri="{FF2B5EF4-FFF2-40B4-BE49-F238E27FC236}">
                  <a16:creationId xmlns:a16="http://schemas.microsoft.com/office/drawing/2014/main" id="{D1914289-6992-4875-B608-B5001F44B52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xdr:colOff>
          <xdr:row>36</xdr:row>
          <xdr:rowOff>53340</xdr:rowOff>
        </xdr:from>
        <xdr:to>
          <xdr:col>3</xdr:col>
          <xdr:colOff>754380</xdr:colOff>
          <xdr:row>37</xdr:row>
          <xdr:rowOff>38100</xdr:rowOff>
        </xdr:to>
        <xdr:sp macro="" textlink="">
          <xdr:nvSpPr>
            <xdr:cNvPr id="9225" name="btnYesEducation" hidden="1">
              <a:extLst>
                <a:ext uri="{63B3BB69-23CF-44E3-9099-C40C66FF867C}">
                  <a14:compatExt spid="_x0000_s9225"/>
                </a:ext>
                <a:ext uri="{FF2B5EF4-FFF2-40B4-BE49-F238E27FC236}">
                  <a16:creationId xmlns:a16="http://schemas.microsoft.com/office/drawing/2014/main" id="{A2C35F2D-84F0-4D09-A874-371786B8EAF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xdr:colOff>
          <xdr:row>36</xdr:row>
          <xdr:rowOff>53340</xdr:rowOff>
        </xdr:from>
        <xdr:to>
          <xdr:col>5</xdr:col>
          <xdr:colOff>601980</xdr:colOff>
          <xdr:row>37</xdr:row>
          <xdr:rowOff>38100</xdr:rowOff>
        </xdr:to>
        <xdr:sp macro="" textlink="">
          <xdr:nvSpPr>
            <xdr:cNvPr id="9226" name="btnNoEducation" hidden="1">
              <a:extLst>
                <a:ext uri="{63B3BB69-23CF-44E3-9099-C40C66FF867C}">
                  <a14:compatExt spid="_x0000_s9226"/>
                </a:ext>
                <a:ext uri="{FF2B5EF4-FFF2-40B4-BE49-F238E27FC236}">
                  <a16:creationId xmlns:a16="http://schemas.microsoft.com/office/drawing/2014/main" id="{760C1BB7-008C-4EBE-B464-FAC82D9B93D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55</xdr:row>
          <xdr:rowOff>7620</xdr:rowOff>
        </xdr:from>
        <xdr:to>
          <xdr:col>6</xdr:col>
          <xdr:colOff>0</xdr:colOff>
          <xdr:row>56</xdr:row>
          <xdr:rowOff>0</xdr:rowOff>
        </xdr:to>
        <xdr:sp macro="" textlink="">
          <xdr:nvSpPr>
            <xdr:cNvPr id="9227" name="chkboxMedical1" hidden="1">
              <a:extLst>
                <a:ext uri="{63B3BB69-23CF-44E3-9099-C40C66FF867C}">
                  <a14:compatExt spid="_x0000_s9227"/>
                </a:ext>
                <a:ext uri="{FF2B5EF4-FFF2-40B4-BE49-F238E27FC236}">
                  <a16:creationId xmlns:a16="http://schemas.microsoft.com/office/drawing/2014/main" id="{006AD6F5-7DD3-4152-86E1-C91CE33B82A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56</xdr:row>
          <xdr:rowOff>7620</xdr:rowOff>
        </xdr:from>
        <xdr:to>
          <xdr:col>7</xdr:col>
          <xdr:colOff>0</xdr:colOff>
          <xdr:row>56</xdr:row>
          <xdr:rowOff>205740</xdr:rowOff>
        </xdr:to>
        <xdr:sp macro="" textlink="">
          <xdr:nvSpPr>
            <xdr:cNvPr id="9228" name="chkboxMedical2" hidden="1">
              <a:extLst>
                <a:ext uri="{63B3BB69-23CF-44E3-9099-C40C66FF867C}">
                  <a14:compatExt spid="_x0000_s9228"/>
                </a:ext>
                <a:ext uri="{FF2B5EF4-FFF2-40B4-BE49-F238E27FC236}">
                  <a16:creationId xmlns:a16="http://schemas.microsoft.com/office/drawing/2014/main" id="{10F3C7F6-CC70-487E-8F63-B58604ABBC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57</xdr:row>
          <xdr:rowOff>7620</xdr:rowOff>
        </xdr:from>
        <xdr:to>
          <xdr:col>7</xdr:col>
          <xdr:colOff>601980</xdr:colOff>
          <xdr:row>57</xdr:row>
          <xdr:rowOff>198120</xdr:rowOff>
        </xdr:to>
        <xdr:sp macro="" textlink="">
          <xdr:nvSpPr>
            <xdr:cNvPr id="9229" name="chkboxMedical3" hidden="1">
              <a:extLst>
                <a:ext uri="{63B3BB69-23CF-44E3-9099-C40C66FF867C}">
                  <a14:compatExt spid="_x0000_s9229"/>
                </a:ext>
                <a:ext uri="{FF2B5EF4-FFF2-40B4-BE49-F238E27FC236}">
                  <a16:creationId xmlns:a16="http://schemas.microsoft.com/office/drawing/2014/main" id="{71FE0C99-B44E-4941-A914-C49F798742F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63</xdr:row>
          <xdr:rowOff>7620</xdr:rowOff>
        </xdr:from>
        <xdr:to>
          <xdr:col>6</xdr:col>
          <xdr:colOff>0</xdr:colOff>
          <xdr:row>64</xdr:row>
          <xdr:rowOff>0</xdr:rowOff>
        </xdr:to>
        <xdr:sp macro="" textlink="">
          <xdr:nvSpPr>
            <xdr:cNvPr id="9230" name="chkboxOther1" hidden="1">
              <a:extLst>
                <a:ext uri="{63B3BB69-23CF-44E3-9099-C40C66FF867C}">
                  <a14:compatExt spid="_x0000_s9230"/>
                </a:ext>
                <a:ext uri="{FF2B5EF4-FFF2-40B4-BE49-F238E27FC236}">
                  <a16:creationId xmlns:a16="http://schemas.microsoft.com/office/drawing/2014/main" id="{71A1F196-594B-4665-A9BC-5ED953768AC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xdr:row>
          <xdr:rowOff>7620</xdr:rowOff>
        </xdr:from>
        <xdr:to>
          <xdr:col>4</xdr:col>
          <xdr:colOff>746760</xdr:colOff>
          <xdr:row>64</xdr:row>
          <xdr:rowOff>190500</xdr:rowOff>
        </xdr:to>
        <xdr:sp macro="" textlink="">
          <xdr:nvSpPr>
            <xdr:cNvPr id="9231" name="chkboxOther2" hidden="1">
              <a:extLst>
                <a:ext uri="{63B3BB69-23CF-44E3-9099-C40C66FF867C}">
                  <a14:compatExt spid="_x0000_s9231"/>
                </a:ext>
                <a:ext uri="{FF2B5EF4-FFF2-40B4-BE49-F238E27FC236}">
                  <a16:creationId xmlns:a16="http://schemas.microsoft.com/office/drawing/2014/main" id="{0BFD3A1F-00FA-4E9A-818D-7BF2893EA6E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65</xdr:row>
          <xdr:rowOff>7620</xdr:rowOff>
        </xdr:from>
        <xdr:to>
          <xdr:col>5</xdr:col>
          <xdr:colOff>0</xdr:colOff>
          <xdr:row>65</xdr:row>
          <xdr:rowOff>190500</xdr:rowOff>
        </xdr:to>
        <xdr:sp macro="" textlink="">
          <xdr:nvSpPr>
            <xdr:cNvPr id="9232" name="chkboxOther3" hidden="1">
              <a:extLst>
                <a:ext uri="{63B3BB69-23CF-44E3-9099-C40C66FF867C}">
                  <a14:compatExt spid="_x0000_s9232"/>
                </a:ext>
                <a:ext uri="{FF2B5EF4-FFF2-40B4-BE49-F238E27FC236}">
                  <a16:creationId xmlns:a16="http://schemas.microsoft.com/office/drawing/2014/main" id="{69F1395E-2CA8-4FAD-90E0-861E73805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66</xdr:row>
          <xdr:rowOff>7620</xdr:rowOff>
        </xdr:from>
        <xdr:to>
          <xdr:col>11</xdr:col>
          <xdr:colOff>0</xdr:colOff>
          <xdr:row>66</xdr:row>
          <xdr:rowOff>190500</xdr:rowOff>
        </xdr:to>
        <xdr:sp macro="" textlink="">
          <xdr:nvSpPr>
            <xdr:cNvPr id="9233" name="chkboxOther4" hidden="1">
              <a:extLst>
                <a:ext uri="{63B3BB69-23CF-44E3-9099-C40C66FF867C}">
                  <a14:compatExt spid="_x0000_s9233"/>
                </a:ext>
                <a:ext uri="{FF2B5EF4-FFF2-40B4-BE49-F238E27FC236}">
                  <a16:creationId xmlns:a16="http://schemas.microsoft.com/office/drawing/2014/main" id="{62CAE56D-54FB-4200-A610-0C41CAB588E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67</xdr:row>
          <xdr:rowOff>7620</xdr:rowOff>
        </xdr:from>
        <xdr:to>
          <xdr:col>8</xdr:col>
          <xdr:colOff>594360</xdr:colOff>
          <xdr:row>67</xdr:row>
          <xdr:rowOff>182880</xdr:rowOff>
        </xdr:to>
        <xdr:sp macro="" textlink="">
          <xdr:nvSpPr>
            <xdr:cNvPr id="9234" name="chkboxOther5" hidden="1">
              <a:extLst>
                <a:ext uri="{63B3BB69-23CF-44E3-9099-C40C66FF867C}">
                  <a14:compatExt spid="_x0000_s9234"/>
                </a:ext>
                <a:ext uri="{FF2B5EF4-FFF2-40B4-BE49-F238E27FC236}">
                  <a16:creationId xmlns:a16="http://schemas.microsoft.com/office/drawing/2014/main" id="{DF1E1EB8-0B5F-4B86-84BE-462B75ECF9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594360</xdr:colOff>
          <xdr:row>66</xdr:row>
          <xdr:rowOff>190500</xdr:rowOff>
        </xdr:from>
        <xdr:to>
          <xdr:col>17</xdr:col>
          <xdr:colOff>594360</xdr:colOff>
          <xdr:row>68</xdr:row>
          <xdr:rowOff>152400</xdr:rowOff>
        </xdr:to>
        <xdr:sp macro="" textlink="">
          <xdr:nvSpPr>
            <xdr:cNvPr id="9235" name="ResetButton" hidden="1">
              <a:extLst>
                <a:ext uri="{63B3BB69-23CF-44E3-9099-C40C66FF867C}">
                  <a14:compatExt spid="_x0000_s9235"/>
                </a:ext>
                <a:ext uri="{FF2B5EF4-FFF2-40B4-BE49-F238E27FC236}">
                  <a16:creationId xmlns:a16="http://schemas.microsoft.com/office/drawing/2014/main" id="{AA025CB3-41E5-4418-800F-725D9C9A5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bt_printext.php?bt_kump=5&amp;bt_skum=1&amp;bt_posi=3&amp;bt_unit=1&amp;bt_sequ=1" connectionId="1" xr16:uid="{A756FED2-7F48-4CE7-A2DC-83A41E69AB8C}"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bt_printext.php?bt_kump=5&amp;bt_skum=1&amp;bt_posi=2&amp;bt_unit=5000&amp;bt_sequ=11" connectionId="2" xr16:uid="{AE526A49-20AC-4A6A-8B57-1BBAD0CC755E}"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13" Type="http://schemas.openxmlformats.org/officeDocument/2006/relationships/image" Target="../media/image24.emf"/><Relationship Id="rId18" Type="http://schemas.openxmlformats.org/officeDocument/2006/relationships/control" Target="../activeX/activeX27.xml"/><Relationship Id="rId26" Type="http://schemas.openxmlformats.org/officeDocument/2006/relationships/control" Target="../activeX/activeX31.xml"/><Relationship Id="rId39" Type="http://schemas.openxmlformats.org/officeDocument/2006/relationships/image" Target="../media/image37.emf"/><Relationship Id="rId21" Type="http://schemas.openxmlformats.org/officeDocument/2006/relationships/image" Target="../media/image28.emf"/><Relationship Id="rId34" Type="http://schemas.openxmlformats.org/officeDocument/2006/relationships/control" Target="../activeX/activeX35.xml"/><Relationship Id="rId42" Type="http://schemas.openxmlformats.org/officeDocument/2006/relationships/comments" Target="../comments2.xml"/><Relationship Id="rId7" Type="http://schemas.openxmlformats.org/officeDocument/2006/relationships/image" Target="../media/image21.emf"/><Relationship Id="rId2" Type="http://schemas.openxmlformats.org/officeDocument/2006/relationships/drawing" Target="../drawings/drawing2.xml"/><Relationship Id="rId16" Type="http://schemas.openxmlformats.org/officeDocument/2006/relationships/control" Target="../activeX/activeX26.xml"/><Relationship Id="rId20" Type="http://schemas.openxmlformats.org/officeDocument/2006/relationships/control" Target="../activeX/activeX28.xml"/><Relationship Id="rId29" Type="http://schemas.openxmlformats.org/officeDocument/2006/relationships/image" Target="../media/image32.emf"/><Relationship Id="rId41" Type="http://schemas.openxmlformats.org/officeDocument/2006/relationships/image" Target="../media/image38.emf"/><Relationship Id="rId1" Type="http://schemas.openxmlformats.org/officeDocument/2006/relationships/printerSettings" Target="../printerSettings/printerSettings2.bin"/><Relationship Id="rId6" Type="http://schemas.openxmlformats.org/officeDocument/2006/relationships/control" Target="../activeX/activeX21.xml"/><Relationship Id="rId11" Type="http://schemas.openxmlformats.org/officeDocument/2006/relationships/image" Target="../media/image23.emf"/><Relationship Id="rId24" Type="http://schemas.openxmlformats.org/officeDocument/2006/relationships/control" Target="../activeX/activeX30.xml"/><Relationship Id="rId32" Type="http://schemas.openxmlformats.org/officeDocument/2006/relationships/control" Target="../activeX/activeX34.xml"/><Relationship Id="rId37" Type="http://schemas.openxmlformats.org/officeDocument/2006/relationships/image" Target="../media/image36.emf"/><Relationship Id="rId40" Type="http://schemas.openxmlformats.org/officeDocument/2006/relationships/control" Target="../activeX/activeX38.xml"/><Relationship Id="rId5" Type="http://schemas.openxmlformats.org/officeDocument/2006/relationships/image" Target="../media/image20.emf"/><Relationship Id="rId15" Type="http://schemas.openxmlformats.org/officeDocument/2006/relationships/image" Target="../media/image25.emf"/><Relationship Id="rId23" Type="http://schemas.openxmlformats.org/officeDocument/2006/relationships/image" Target="../media/image29.emf"/><Relationship Id="rId28" Type="http://schemas.openxmlformats.org/officeDocument/2006/relationships/control" Target="../activeX/activeX32.xml"/><Relationship Id="rId36" Type="http://schemas.openxmlformats.org/officeDocument/2006/relationships/control" Target="../activeX/activeX36.xml"/><Relationship Id="rId10" Type="http://schemas.openxmlformats.org/officeDocument/2006/relationships/control" Target="../activeX/activeX23.xml"/><Relationship Id="rId19" Type="http://schemas.openxmlformats.org/officeDocument/2006/relationships/image" Target="../media/image27.emf"/><Relationship Id="rId31" Type="http://schemas.openxmlformats.org/officeDocument/2006/relationships/image" Target="../media/image33.emf"/><Relationship Id="rId4" Type="http://schemas.openxmlformats.org/officeDocument/2006/relationships/control" Target="../activeX/activeX20.xml"/><Relationship Id="rId9" Type="http://schemas.openxmlformats.org/officeDocument/2006/relationships/image" Target="../media/image22.emf"/><Relationship Id="rId14" Type="http://schemas.openxmlformats.org/officeDocument/2006/relationships/control" Target="../activeX/activeX25.xml"/><Relationship Id="rId22" Type="http://schemas.openxmlformats.org/officeDocument/2006/relationships/control" Target="../activeX/activeX29.xml"/><Relationship Id="rId27" Type="http://schemas.openxmlformats.org/officeDocument/2006/relationships/image" Target="../media/image31.emf"/><Relationship Id="rId30" Type="http://schemas.openxmlformats.org/officeDocument/2006/relationships/control" Target="../activeX/activeX33.xml"/><Relationship Id="rId35" Type="http://schemas.openxmlformats.org/officeDocument/2006/relationships/image" Target="../media/image35.emf"/><Relationship Id="rId8" Type="http://schemas.openxmlformats.org/officeDocument/2006/relationships/control" Target="../activeX/activeX22.xml"/><Relationship Id="rId3" Type="http://schemas.openxmlformats.org/officeDocument/2006/relationships/vmlDrawing" Target="../drawings/vmlDrawing2.vml"/><Relationship Id="rId12" Type="http://schemas.openxmlformats.org/officeDocument/2006/relationships/control" Target="../activeX/activeX24.xml"/><Relationship Id="rId17" Type="http://schemas.openxmlformats.org/officeDocument/2006/relationships/image" Target="../media/image26.emf"/><Relationship Id="rId25" Type="http://schemas.openxmlformats.org/officeDocument/2006/relationships/image" Target="../media/image30.emf"/><Relationship Id="rId33" Type="http://schemas.openxmlformats.org/officeDocument/2006/relationships/image" Target="../media/image34.emf"/><Relationship Id="rId38" Type="http://schemas.openxmlformats.org/officeDocument/2006/relationships/control" Target="../activeX/activeX37.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A7266-7813-48D6-AA1E-3D977D2EF3DE}">
  <sheetPr codeName="Sheet1"/>
  <dimension ref="A1:LL128"/>
  <sheetViews>
    <sheetView workbookViewId="0">
      <selection activeCell="C55" sqref="C55"/>
    </sheetView>
  </sheetViews>
  <sheetFormatPr defaultRowHeight="13.8" x14ac:dyDescent="0.25"/>
  <cols>
    <col min="1" max="1" width="8.88671875" style="46"/>
    <col min="2" max="2" width="2.5546875" style="46" customWidth="1"/>
    <col min="3" max="3" width="8.88671875" style="46"/>
    <col min="4" max="5" width="11.109375" style="46" customWidth="1"/>
    <col min="6" max="9" width="8.88671875" style="46"/>
    <col min="10" max="11" width="11.109375" style="46" customWidth="1"/>
    <col min="12" max="12" width="8.88671875" style="46"/>
    <col min="13" max="13" width="8.88671875" style="46" customWidth="1"/>
    <col min="14" max="14" width="8.88671875" style="46"/>
    <col min="15" max="15" width="2.5546875" style="46" customWidth="1"/>
    <col min="16" max="16384" width="8.88671875" style="46"/>
  </cols>
  <sheetData>
    <row r="1" spans="1:324" s="39" customFormat="1" ht="14.4" thickBot="1" x14ac:dyDescent="0.3">
      <c r="B1" s="40"/>
      <c r="M1" s="41"/>
    </row>
    <row r="2" spans="1:324" s="39" customFormat="1" x14ac:dyDescent="0.25">
      <c r="A2" s="42"/>
      <c r="B2" s="41"/>
      <c r="C2" s="66"/>
      <c r="D2" s="66"/>
      <c r="E2" s="66"/>
      <c r="F2" s="66"/>
      <c r="G2" s="66"/>
      <c r="H2" s="66"/>
      <c r="I2" s="66"/>
      <c r="J2" s="66"/>
      <c r="K2" s="66"/>
      <c r="L2" s="66"/>
      <c r="M2" s="66"/>
      <c r="N2" s="66"/>
      <c r="O2" s="43"/>
    </row>
    <row r="3" spans="1:324" s="39" customFormat="1" ht="15.6" x14ac:dyDescent="0.3">
      <c r="B3" s="67"/>
      <c r="C3" s="44" t="s">
        <v>227</v>
      </c>
      <c r="O3" s="42"/>
    </row>
    <row r="4" spans="1:324" s="39" customFormat="1" x14ac:dyDescent="0.25">
      <c r="B4" s="67"/>
      <c r="O4" s="42"/>
      <c r="LL4" s="39">
        <v>0</v>
      </c>
    </row>
    <row r="5" spans="1:324" s="39" customFormat="1" x14ac:dyDescent="0.25">
      <c r="B5" s="67"/>
      <c r="C5" s="45" t="s">
        <v>231</v>
      </c>
      <c r="O5" s="42"/>
    </row>
    <row r="6" spans="1:324" x14ac:dyDescent="0.25">
      <c r="B6" s="68"/>
      <c r="C6" s="47"/>
      <c r="D6" s="48"/>
      <c r="E6" s="48"/>
      <c r="F6" s="48"/>
      <c r="G6" s="48"/>
      <c r="H6" s="48"/>
      <c r="I6" s="48"/>
      <c r="J6" s="48"/>
      <c r="K6" s="48"/>
      <c r="L6" s="48"/>
      <c r="M6" s="48"/>
      <c r="N6" s="49"/>
      <c r="O6" s="59"/>
    </row>
    <row r="7" spans="1:324" x14ac:dyDescent="0.25">
      <c r="B7" s="68"/>
      <c r="C7" s="50" t="s">
        <v>226</v>
      </c>
      <c r="D7" s="51"/>
      <c r="E7" s="51"/>
      <c r="F7" s="51"/>
      <c r="G7" s="52"/>
      <c r="H7" s="52"/>
      <c r="I7" s="52" t="s">
        <v>229</v>
      </c>
      <c r="J7" s="52"/>
      <c r="K7" s="51"/>
      <c r="L7" s="51"/>
      <c r="M7" s="51"/>
      <c r="N7" s="53"/>
      <c r="O7" s="59"/>
    </row>
    <row r="8" spans="1:324" ht="3" customHeight="1" x14ac:dyDescent="0.25">
      <c r="B8" s="68"/>
      <c r="C8" s="50"/>
      <c r="D8" s="52"/>
      <c r="E8" s="52"/>
      <c r="F8" s="52"/>
      <c r="G8" s="52"/>
      <c r="H8" s="52"/>
      <c r="I8" s="52"/>
      <c r="J8" s="52"/>
      <c r="K8" s="52"/>
      <c r="L8" s="52"/>
      <c r="M8" s="52"/>
      <c r="N8" s="53"/>
      <c r="O8" s="59"/>
    </row>
    <row r="9" spans="1:324" x14ac:dyDescent="0.25">
      <c r="B9" s="68"/>
      <c r="C9" s="54" t="s">
        <v>228</v>
      </c>
      <c r="D9" s="105"/>
      <c r="E9" s="51"/>
      <c r="F9" s="51"/>
      <c r="G9" s="52"/>
      <c r="H9" s="52"/>
      <c r="I9" s="52" t="s">
        <v>230</v>
      </c>
      <c r="J9" s="52"/>
      <c r="K9" s="51"/>
      <c r="L9" s="51"/>
      <c r="M9" s="51"/>
      <c r="N9" s="53"/>
      <c r="O9" s="59"/>
    </row>
    <row r="10" spans="1:324" x14ac:dyDescent="0.25">
      <c r="B10" s="68"/>
      <c r="C10" s="55"/>
      <c r="D10" s="56"/>
      <c r="E10" s="56"/>
      <c r="F10" s="56"/>
      <c r="G10" s="56"/>
      <c r="H10" s="56"/>
      <c r="I10" s="56"/>
      <c r="J10" s="56"/>
      <c r="K10" s="56"/>
      <c r="L10" s="56"/>
      <c r="M10" s="56"/>
      <c r="N10" s="57"/>
      <c r="O10" s="59"/>
    </row>
    <row r="11" spans="1:324" x14ac:dyDescent="0.25">
      <c r="B11" s="68"/>
      <c r="O11" s="59"/>
    </row>
    <row r="12" spans="1:324" x14ac:dyDescent="0.25">
      <c r="B12" s="68"/>
      <c r="C12" s="45" t="s">
        <v>232</v>
      </c>
      <c r="O12" s="59"/>
    </row>
    <row r="13" spans="1:324" x14ac:dyDescent="0.25">
      <c r="B13" s="68"/>
      <c r="C13" s="47"/>
      <c r="D13" s="48"/>
      <c r="E13" s="48"/>
      <c r="F13" s="48"/>
      <c r="G13" s="48"/>
      <c r="H13" s="48"/>
      <c r="I13" s="48"/>
      <c r="J13" s="48"/>
      <c r="K13" s="48"/>
      <c r="L13" s="48"/>
      <c r="M13" s="48"/>
      <c r="N13" s="49"/>
      <c r="O13" s="59"/>
    </row>
    <row r="14" spans="1:324" x14ac:dyDescent="0.25">
      <c r="B14" s="68"/>
      <c r="C14" s="54" t="s">
        <v>241</v>
      </c>
      <c r="D14" s="52"/>
      <c r="E14" s="52"/>
      <c r="F14" s="52"/>
      <c r="G14" s="52"/>
      <c r="H14" s="52"/>
      <c r="I14" s="52"/>
      <c r="K14" s="52" t="s">
        <v>233</v>
      </c>
      <c r="L14" s="51"/>
      <c r="M14" s="58">
        <v>0</v>
      </c>
      <c r="N14" s="53"/>
      <c r="O14" s="59"/>
    </row>
    <row r="15" spans="1:324" x14ac:dyDescent="0.25">
      <c r="B15" s="68"/>
      <c r="C15" s="54"/>
      <c r="D15" s="52"/>
      <c r="E15" s="52"/>
      <c r="F15" s="52"/>
      <c r="G15" s="52"/>
      <c r="H15" s="52"/>
      <c r="I15" s="52"/>
      <c r="J15" s="52"/>
      <c r="K15" s="52"/>
      <c r="L15" s="52"/>
      <c r="M15" s="52"/>
      <c r="N15" s="53"/>
      <c r="O15" s="59"/>
    </row>
    <row r="16" spans="1:324" x14ac:dyDescent="0.25">
      <c r="B16" s="68"/>
      <c r="C16" s="54" t="s">
        <v>234</v>
      </c>
      <c r="D16" s="52"/>
      <c r="E16" s="52"/>
      <c r="F16" s="52"/>
      <c r="G16" s="52"/>
      <c r="H16" s="52"/>
      <c r="I16" s="52"/>
      <c r="J16" s="52"/>
      <c r="K16" s="52"/>
      <c r="L16" s="52"/>
      <c r="M16" s="52"/>
      <c r="N16" s="53"/>
      <c r="O16" s="59"/>
    </row>
    <row r="17" spans="2:15" ht="16.8" customHeight="1" x14ac:dyDescent="0.25">
      <c r="B17" s="68"/>
      <c r="C17" s="54"/>
      <c r="D17" s="52"/>
      <c r="E17" s="52"/>
      <c r="F17" s="52"/>
      <c r="G17" s="52"/>
      <c r="H17" s="52"/>
      <c r="I17" s="52"/>
      <c r="J17" s="52"/>
      <c r="K17" s="52"/>
      <c r="L17" s="52"/>
      <c r="M17" s="52"/>
      <c r="N17" s="53"/>
      <c r="O17" s="59"/>
    </row>
    <row r="18" spans="2:15" x14ac:dyDescent="0.25">
      <c r="B18" s="68"/>
      <c r="C18" s="54"/>
      <c r="D18" s="52"/>
      <c r="E18" s="52"/>
      <c r="F18" s="52"/>
      <c r="G18" s="52"/>
      <c r="H18" s="52"/>
      <c r="I18" s="52"/>
      <c r="J18" s="52"/>
      <c r="K18" s="52"/>
      <c r="L18" s="52"/>
      <c r="M18" s="52"/>
      <c r="N18" s="53"/>
      <c r="O18" s="59"/>
    </row>
    <row r="19" spans="2:15" x14ac:dyDescent="0.25">
      <c r="B19" s="68"/>
      <c r="C19" s="54" t="s">
        <v>235</v>
      </c>
      <c r="D19" s="52"/>
      <c r="E19" s="52"/>
      <c r="F19" s="52"/>
      <c r="G19" s="52"/>
      <c r="H19" s="52"/>
      <c r="I19" s="52"/>
      <c r="J19" s="52"/>
      <c r="K19" s="52"/>
      <c r="L19" s="51"/>
      <c r="M19" s="52"/>
      <c r="N19" s="53"/>
      <c r="O19" s="59"/>
    </row>
    <row r="20" spans="2:15" ht="16.8" customHeight="1" x14ac:dyDescent="0.25">
      <c r="B20" s="68"/>
      <c r="C20" s="54"/>
      <c r="M20" s="52"/>
      <c r="N20" s="53"/>
      <c r="O20" s="59"/>
    </row>
    <row r="21" spans="2:15" x14ac:dyDescent="0.25">
      <c r="B21" s="68"/>
      <c r="C21" s="54" t="s">
        <v>236</v>
      </c>
      <c r="D21" s="52"/>
      <c r="E21" s="52"/>
      <c r="F21" s="52"/>
      <c r="G21" s="52"/>
      <c r="H21" s="52"/>
      <c r="I21" s="52"/>
      <c r="J21" s="52"/>
      <c r="K21" s="52"/>
      <c r="L21" s="51"/>
      <c r="M21" s="52"/>
      <c r="N21" s="53"/>
      <c r="O21" s="59"/>
    </row>
    <row r="22" spans="2:15" x14ac:dyDescent="0.25">
      <c r="B22" s="68"/>
      <c r="C22" s="54"/>
      <c r="D22" s="52"/>
      <c r="E22" s="52"/>
      <c r="F22" s="52"/>
      <c r="G22" s="52"/>
      <c r="H22" s="52"/>
      <c r="I22" s="52"/>
      <c r="J22" s="52"/>
      <c r="K22" s="52"/>
      <c r="L22" s="52"/>
      <c r="M22" s="52"/>
      <c r="N22" s="53"/>
      <c r="O22" s="59"/>
    </row>
    <row r="23" spans="2:15" ht="16.8" customHeight="1" x14ac:dyDescent="0.25">
      <c r="B23" s="68"/>
      <c r="C23" s="54" t="s">
        <v>237</v>
      </c>
      <c r="D23" s="52"/>
      <c r="E23" s="52"/>
      <c r="F23" s="52"/>
      <c r="G23" s="52"/>
      <c r="H23" s="52"/>
      <c r="I23" s="52"/>
      <c r="J23" s="52"/>
      <c r="K23" s="52"/>
      <c r="L23" s="52"/>
      <c r="M23" s="52"/>
      <c r="N23" s="53"/>
      <c r="O23" s="59"/>
    </row>
    <row r="24" spans="2:15" x14ac:dyDescent="0.25">
      <c r="B24" s="68"/>
      <c r="C24" s="54"/>
      <c r="D24" s="52"/>
      <c r="E24" s="52"/>
      <c r="F24" s="52"/>
      <c r="G24" s="52"/>
      <c r="H24" s="52"/>
      <c r="I24" s="52"/>
      <c r="J24" s="52"/>
      <c r="K24" s="52"/>
      <c r="L24" s="52"/>
      <c r="M24" s="52"/>
      <c r="N24" s="53"/>
      <c r="O24" s="59"/>
    </row>
    <row r="25" spans="2:15" x14ac:dyDescent="0.25">
      <c r="B25" s="68"/>
      <c r="C25" s="54"/>
      <c r="M25" s="52"/>
      <c r="N25" s="53"/>
      <c r="O25" s="59"/>
    </row>
    <row r="26" spans="2:15" ht="16.8" customHeight="1" x14ac:dyDescent="0.25">
      <c r="B26" s="68"/>
      <c r="C26" s="54" t="s">
        <v>263</v>
      </c>
      <c r="D26" s="52"/>
      <c r="E26" s="52"/>
      <c r="F26" s="52"/>
      <c r="G26" s="52"/>
      <c r="H26" s="52"/>
      <c r="I26" s="52"/>
      <c r="J26" s="52"/>
      <c r="K26" s="52"/>
      <c r="L26" s="51"/>
      <c r="M26" s="52"/>
      <c r="N26" s="53"/>
      <c r="O26" s="59"/>
    </row>
    <row r="27" spans="2:15" x14ac:dyDescent="0.25">
      <c r="B27" s="68"/>
      <c r="C27" s="54"/>
      <c r="M27" s="52"/>
      <c r="N27" s="53"/>
      <c r="O27" s="59"/>
    </row>
    <row r="28" spans="2:15" ht="13.8" customHeight="1" x14ac:dyDescent="0.25">
      <c r="B28" s="68"/>
      <c r="C28" s="54" t="s">
        <v>264</v>
      </c>
      <c r="D28" s="52"/>
      <c r="E28" s="52"/>
      <c r="F28" s="52"/>
      <c r="G28" s="52"/>
      <c r="H28" s="52"/>
      <c r="I28" s="52"/>
      <c r="J28" s="52"/>
      <c r="K28" s="52"/>
      <c r="L28" s="51"/>
      <c r="M28" s="52"/>
      <c r="N28" s="53"/>
      <c r="O28" s="59"/>
    </row>
    <row r="29" spans="2:15" x14ac:dyDescent="0.25">
      <c r="B29" s="68"/>
      <c r="C29" s="54"/>
      <c r="D29" s="52"/>
      <c r="E29" s="52"/>
      <c r="F29" s="52"/>
      <c r="G29" s="52"/>
      <c r="H29" s="52"/>
      <c r="I29" s="52"/>
      <c r="J29" s="52"/>
      <c r="K29" s="52"/>
      <c r="L29" s="52"/>
      <c r="M29" s="52"/>
      <c r="N29" s="53"/>
      <c r="O29" s="59"/>
    </row>
    <row r="30" spans="2:15" x14ac:dyDescent="0.25">
      <c r="B30" s="68"/>
      <c r="C30" s="54" t="s">
        <v>238</v>
      </c>
      <c r="D30" s="52"/>
      <c r="E30" s="52"/>
      <c r="F30" s="52"/>
      <c r="G30" s="52"/>
      <c r="H30" s="52"/>
      <c r="I30" s="52"/>
      <c r="J30" s="52"/>
      <c r="K30" s="52"/>
      <c r="L30" s="52"/>
      <c r="M30" s="52"/>
      <c r="N30" s="53"/>
      <c r="O30" s="59"/>
    </row>
    <row r="31" spans="2:15" ht="16.8" customHeight="1" x14ac:dyDescent="0.25">
      <c r="B31" s="68"/>
      <c r="C31" s="54"/>
      <c r="D31" s="52"/>
      <c r="E31" s="52"/>
      <c r="F31" s="52"/>
      <c r="G31" s="52"/>
      <c r="H31" s="52"/>
      <c r="I31" s="52"/>
      <c r="J31" s="52"/>
      <c r="K31" s="52"/>
      <c r="L31" s="52"/>
      <c r="M31" s="52"/>
      <c r="N31" s="53"/>
      <c r="O31" s="59"/>
    </row>
    <row r="32" spans="2:15" x14ac:dyDescent="0.25">
      <c r="B32" s="68"/>
      <c r="C32" s="55"/>
      <c r="D32" s="56"/>
      <c r="E32" s="56"/>
      <c r="F32" s="56"/>
      <c r="G32" s="56"/>
      <c r="H32" s="56"/>
      <c r="I32" s="56"/>
      <c r="J32" s="56"/>
      <c r="K32" s="56"/>
      <c r="L32" s="56"/>
      <c r="M32" s="56"/>
      <c r="N32" s="57"/>
      <c r="O32" s="59"/>
    </row>
    <row r="33" spans="2:15" x14ac:dyDescent="0.25">
      <c r="B33" s="68"/>
      <c r="O33" s="59"/>
    </row>
    <row r="34" spans="2:15" x14ac:dyDescent="0.25">
      <c r="B34" s="68"/>
      <c r="C34" s="45" t="s">
        <v>240</v>
      </c>
      <c r="O34" s="59"/>
    </row>
    <row r="35" spans="2:15" x14ac:dyDescent="0.25">
      <c r="B35" s="68"/>
      <c r="C35" s="47"/>
      <c r="D35" s="48"/>
      <c r="E35" s="48"/>
      <c r="F35" s="48"/>
      <c r="G35" s="48"/>
      <c r="H35" s="48"/>
      <c r="I35" s="48"/>
      <c r="J35" s="48"/>
      <c r="K35" s="48"/>
      <c r="L35" s="48"/>
      <c r="M35" s="48"/>
      <c r="N35" s="49"/>
      <c r="O35" s="59"/>
    </row>
    <row r="36" spans="2:15" x14ac:dyDescent="0.25">
      <c r="B36" s="68"/>
      <c r="C36" s="54" t="s">
        <v>239</v>
      </c>
      <c r="D36" s="52"/>
      <c r="E36" s="52"/>
      <c r="F36" s="63" t="s">
        <v>254</v>
      </c>
      <c r="G36" s="52"/>
      <c r="H36" s="52"/>
      <c r="I36" s="52"/>
      <c r="J36" s="52"/>
      <c r="K36" s="52"/>
      <c r="L36" s="52"/>
      <c r="M36" s="52"/>
      <c r="N36" s="53"/>
      <c r="O36" s="59"/>
    </row>
    <row r="37" spans="2:15" ht="16.8" customHeight="1" x14ac:dyDescent="0.25">
      <c r="B37" s="68"/>
      <c r="C37" s="54"/>
      <c r="D37" s="52"/>
      <c r="E37" s="52"/>
      <c r="F37" s="52"/>
      <c r="G37" s="52"/>
      <c r="H37" s="52"/>
      <c r="I37" s="52"/>
      <c r="J37" s="52"/>
      <c r="K37" s="52"/>
      <c r="L37" s="52"/>
      <c r="M37" s="52"/>
      <c r="N37" s="53"/>
      <c r="O37" s="59"/>
    </row>
    <row r="38" spans="2:15" x14ac:dyDescent="0.25">
      <c r="B38" s="68"/>
      <c r="C38" s="54"/>
      <c r="D38" s="52"/>
      <c r="E38" s="52"/>
      <c r="F38" s="52"/>
      <c r="G38" s="52"/>
      <c r="H38" s="52"/>
      <c r="I38" s="52"/>
      <c r="J38" s="52"/>
      <c r="K38" s="52"/>
      <c r="L38" s="52"/>
      <c r="M38" s="52"/>
      <c r="N38" s="53"/>
      <c r="O38" s="59"/>
    </row>
    <row r="39" spans="2:15" x14ac:dyDescent="0.25">
      <c r="B39" s="68"/>
      <c r="C39" s="54" t="s">
        <v>242</v>
      </c>
      <c r="D39" s="52"/>
      <c r="E39" s="52"/>
      <c r="F39" s="52"/>
      <c r="G39" s="52"/>
      <c r="H39" s="52"/>
      <c r="I39" s="52"/>
      <c r="J39" s="52"/>
      <c r="K39" s="52" t="s">
        <v>233</v>
      </c>
      <c r="L39" s="65"/>
      <c r="M39" s="58">
        <v>0</v>
      </c>
      <c r="N39" s="53"/>
      <c r="O39" s="59"/>
    </row>
    <row r="40" spans="2:15" x14ac:dyDescent="0.25">
      <c r="B40" s="68"/>
      <c r="C40" s="54"/>
      <c r="D40" s="52"/>
      <c r="E40" s="52"/>
      <c r="F40" s="52"/>
      <c r="G40" s="52"/>
      <c r="H40" s="52"/>
      <c r="I40" s="52"/>
      <c r="J40" s="52"/>
      <c r="K40" s="52"/>
      <c r="L40" s="52"/>
      <c r="M40" s="52"/>
      <c r="N40" s="53"/>
      <c r="O40" s="59"/>
    </row>
    <row r="41" spans="2:15" x14ac:dyDescent="0.25">
      <c r="B41" s="68"/>
      <c r="C41" s="54" t="s">
        <v>261</v>
      </c>
      <c r="D41" s="52"/>
      <c r="E41" s="52"/>
      <c r="F41" s="52"/>
      <c r="G41" s="52"/>
      <c r="H41" s="52"/>
      <c r="I41" s="52"/>
      <c r="J41" s="52"/>
      <c r="K41" s="52" t="s">
        <v>233</v>
      </c>
      <c r="L41" s="65"/>
      <c r="M41" s="58">
        <v>0</v>
      </c>
      <c r="N41" s="53"/>
      <c r="O41" s="59"/>
    </row>
    <row r="42" spans="2:15" x14ac:dyDescent="0.25">
      <c r="B42" s="68"/>
      <c r="C42" s="55"/>
      <c r="D42" s="56"/>
      <c r="E42" s="56"/>
      <c r="F42" s="56"/>
      <c r="G42" s="56"/>
      <c r="H42" s="56"/>
      <c r="I42" s="56"/>
      <c r="J42" s="56"/>
      <c r="K42" s="56"/>
      <c r="L42" s="56"/>
      <c r="M42" s="56"/>
      <c r="N42" s="57"/>
      <c r="O42" s="59"/>
    </row>
    <row r="43" spans="2:15" x14ac:dyDescent="0.25">
      <c r="B43" s="68"/>
      <c r="O43" s="59"/>
    </row>
    <row r="44" spans="2:15" x14ac:dyDescent="0.25">
      <c r="B44" s="68"/>
      <c r="C44" s="45" t="s">
        <v>246</v>
      </c>
      <c r="O44" s="59"/>
    </row>
    <row r="45" spans="2:15" x14ac:dyDescent="0.25">
      <c r="B45" s="68"/>
      <c r="C45" s="47"/>
      <c r="D45" s="48"/>
      <c r="E45" s="48"/>
      <c r="F45" s="48"/>
      <c r="G45" s="48"/>
      <c r="H45" s="48"/>
      <c r="I45" s="48"/>
      <c r="J45" s="48"/>
      <c r="K45" s="48"/>
      <c r="L45" s="48"/>
      <c r="M45" s="48"/>
      <c r="N45" s="49"/>
      <c r="O45" s="59"/>
    </row>
    <row r="46" spans="2:15" x14ac:dyDescent="0.25">
      <c r="B46" s="68"/>
      <c r="C46" s="54" t="s">
        <v>243</v>
      </c>
      <c r="D46" s="52"/>
      <c r="E46" s="52"/>
      <c r="F46" s="52"/>
      <c r="G46" s="52"/>
      <c r="H46" s="52"/>
      <c r="I46" s="52"/>
      <c r="J46" s="52"/>
      <c r="K46" s="52" t="s">
        <v>233</v>
      </c>
      <c r="L46" s="51"/>
      <c r="M46" s="58">
        <v>0</v>
      </c>
      <c r="N46" s="53"/>
      <c r="O46" s="59"/>
    </row>
    <row r="47" spans="2:15" x14ac:dyDescent="0.25">
      <c r="B47" s="68"/>
      <c r="C47" s="54"/>
      <c r="D47" s="52"/>
      <c r="E47" s="52"/>
      <c r="F47" s="52"/>
      <c r="G47" s="52"/>
      <c r="H47" s="52"/>
      <c r="I47" s="52"/>
      <c r="J47" s="52"/>
      <c r="K47" s="52"/>
      <c r="L47" s="52"/>
      <c r="M47" s="52"/>
      <c r="N47" s="53"/>
      <c r="O47" s="59"/>
    </row>
    <row r="48" spans="2:15" x14ac:dyDescent="0.25">
      <c r="B48" s="68"/>
      <c r="C48" s="54" t="s">
        <v>244</v>
      </c>
      <c r="D48" s="52"/>
      <c r="E48" s="52"/>
      <c r="F48" s="52"/>
      <c r="G48" s="52"/>
      <c r="H48" s="52"/>
      <c r="I48" s="52"/>
      <c r="J48" s="52"/>
      <c r="K48" s="52" t="s">
        <v>233</v>
      </c>
      <c r="L48" s="51"/>
      <c r="M48" s="58">
        <v>0</v>
      </c>
      <c r="N48" s="53"/>
      <c r="O48" s="59"/>
    </row>
    <row r="49" spans="2:15" x14ac:dyDescent="0.25">
      <c r="B49" s="68"/>
      <c r="C49" s="54"/>
      <c r="D49" s="52"/>
      <c r="E49" s="52"/>
      <c r="F49" s="52"/>
      <c r="G49" s="52"/>
      <c r="H49" s="52"/>
      <c r="I49" s="52"/>
      <c r="J49" s="52"/>
      <c r="K49" s="52"/>
      <c r="L49" s="52"/>
      <c r="M49" s="52"/>
      <c r="N49" s="53"/>
      <c r="O49" s="59"/>
    </row>
    <row r="50" spans="2:15" x14ac:dyDescent="0.25">
      <c r="B50" s="68"/>
      <c r="C50" s="54" t="s">
        <v>245</v>
      </c>
      <c r="D50" s="52"/>
      <c r="E50" s="52"/>
      <c r="F50" s="52"/>
      <c r="G50" s="52"/>
      <c r="H50" s="52"/>
      <c r="I50" s="52"/>
      <c r="J50" s="52"/>
      <c r="K50" s="52" t="s">
        <v>233</v>
      </c>
      <c r="L50" s="51"/>
      <c r="M50" s="58">
        <v>0</v>
      </c>
      <c r="N50" s="53"/>
      <c r="O50" s="59"/>
    </row>
    <row r="51" spans="2:15" x14ac:dyDescent="0.25">
      <c r="B51" s="68"/>
      <c r="C51" s="55"/>
      <c r="D51" s="56"/>
      <c r="E51" s="56"/>
      <c r="F51" s="56"/>
      <c r="G51" s="56"/>
      <c r="H51" s="56"/>
      <c r="I51" s="56"/>
      <c r="J51" s="56"/>
      <c r="K51" s="56"/>
      <c r="L51" s="56"/>
      <c r="M51" s="56"/>
      <c r="N51" s="57"/>
      <c r="O51" s="59"/>
    </row>
    <row r="52" spans="2:15" x14ac:dyDescent="0.25">
      <c r="B52" s="68"/>
      <c r="O52" s="59"/>
    </row>
    <row r="53" spans="2:15" x14ac:dyDescent="0.25">
      <c r="B53" s="68"/>
      <c r="C53" s="45" t="s">
        <v>247</v>
      </c>
      <c r="O53" s="59"/>
    </row>
    <row r="54" spans="2:15" x14ac:dyDescent="0.25">
      <c r="B54" s="68"/>
      <c r="C54" s="47"/>
      <c r="D54" s="48"/>
      <c r="E54" s="48"/>
      <c r="F54" s="48"/>
      <c r="G54" s="48"/>
      <c r="H54" s="48"/>
      <c r="I54" s="48"/>
      <c r="J54" s="48"/>
      <c r="K54" s="48"/>
      <c r="L54" s="48"/>
      <c r="M54" s="48"/>
      <c r="N54" s="49"/>
      <c r="O54" s="59"/>
    </row>
    <row r="55" spans="2:15" x14ac:dyDescent="0.25">
      <c r="B55" s="68"/>
      <c r="C55" s="54" t="s">
        <v>289</v>
      </c>
      <c r="D55" s="52"/>
      <c r="E55" s="52"/>
      <c r="F55" s="52"/>
      <c r="G55" s="52"/>
      <c r="H55" s="52"/>
      <c r="I55" s="52"/>
      <c r="J55" s="52"/>
      <c r="K55" s="52"/>
      <c r="L55" s="52"/>
      <c r="M55" s="52"/>
      <c r="N55" s="53"/>
      <c r="O55" s="59"/>
    </row>
    <row r="56" spans="2:15" ht="16.8" customHeight="1" x14ac:dyDescent="0.25">
      <c r="B56" s="68"/>
      <c r="C56" s="54"/>
      <c r="D56" s="52"/>
      <c r="E56" s="52"/>
      <c r="F56" s="52"/>
      <c r="G56" s="52"/>
      <c r="H56" s="52"/>
      <c r="I56" s="52"/>
      <c r="J56" s="52"/>
      <c r="K56" s="52"/>
      <c r="L56" s="52"/>
      <c r="M56" s="52"/>
      <c r="N56" s="53"/>
      <c r="O56" s="59"/>
    </row>
    <row r="57" spans="2:15" ht="16.8" customHeight="1" x14ac:dyDescent="0.25">
      <c r="B57" s="68"/>
      <c r="C57" s="54"/>
      <c r="D57" s="52"/>
      <c r="E57" s="52"/>
      <c r="F57" s="52"/>
      <c r="G57" s="52"/>
      <c r="H57" s="52"/>
      <c r="I57" s="52"/>
      <c r="J57" s="52"/>
      <c r="K57" s="52"/>
      <c r="L57" s="52"/>
      <c r="M57" s="52"/>
      <c r="N57" s="53"/>
      <c r="O57" s="59"/>
    </row>
    <row r="58" spans="2:15" ht="16.8" customHeight="1" x14ac:dyDescent="0.25">
      <c r="B58" s="68"/>
      <c r="C58" s="54"/>
      <c r="D58" s="52"/>
      <c r="E58" s="52"/>
      <c r="F58" s="52"/>
      <c r="G58" s="52"/>
      <c r="H58" s="52"/>
      <c r="I58" s="52"/>
      <c r="J58" s="52"/>
      <c r="K58" s="52"/>
      <c r="L58" s="52"/>
      <c r="M58" s="52"/>
      <c r="N58" s="53"/>
      <c r="O58" s="59"/>
    </row>
    <row r="59" spans="2:15" x14ac:dyDescent="0.25">
      <c r="B59" s="68"/>
      <c r="C59" s="55"/>
      <c r="D59" s="56"/>
      <c r="E59" s="56"/>
      <c r="F59" s="56"/>
      <c r="G59" s="56"/>
      <c r="H59" s="56"/>
      <c r="I59" s="56"/>
      <c r="J59" s="56"/>
      <c r="K59" s="56"/>
      <c r="L59" s="56"/>
      <c r="M59" s="56"/>
      <c r="N59" s="57"/>
      <c r="O59" s="59"/>
    </row>
    <row r="60" spans="2:15" x14ac:dyDescent="0.25">
      <c r="B60" s="68"/>
      <c r="O60" s="59"/>
    </row>
    <row r="61" spans="2:15" x14ac:dyDescent="0.25">
      <c r="B61" s="68"/>
      <c r="C61" s="45" t="s">
        <v>249</v>
      </c>
      <c r="O61" s="59"/>
    </row>
    <row r="62" spans="2:15" x14ac:dyDescent="0.25">
      <c r="B62" s="68"/>
      <c r="C62" s="47"/>
      <c r="D62" s="48"/>
      <c r="E62" s="48"/>
      <c r="F62" s="48"/>
      <c r="G62" s="48"/>
      <c r="H62" s="48"/>
      <c r="I62" s="48"/>
      <c r="J62" s="48"/>
      <c r="K62" s="48"/>
      <c r="L62" s="48"/>
      <c r="M62" s="48"/>
      <c r="N62" s="49"/>
      <c r="O62" s="59"/>
    </row>
    <row r="63" spans="2:15" x14ac:dyDescent="0.25">
      <c r="B63" s="68"/>
      <c r="C63" s="54" t="s">
        <v>248</v>
      </c>
      <c r="D63" s="52"/>
      <c r="E63" s="52"/>
      <c r="F63" s="52"/>
      <c r="G63" s="52"/>
      <c r="H63" s="52"/>
      <c r="I63" s="52"/>
      <c r="J63" s="52"/>
      <c r="K63" s="52"/>
      <c r="L63" s="52"/>
      <c r="M63" s="52"/>
      <c r="N63" s="53"/>
      <c r="O63" s="59"/>
    </row>
    <row r="64" spans="2:15" ht="16.8" customHeight="1" x14ac:dyDescent="0.25">
      <c r="B64" s="68"/>
      <c r="C64" s="54"/>
      <c r="D64" s="52"/>
      <c r="E64" s="52"/>
      <c r="F64" s="52"/>
      <c r="G64" s="52"/>
      <c r="H64" s="52"/>
      <c r="I64" s="52"/>
      <c r="J64" s="52"/>
      <c r="K64" s="52"/>
      <c r="L64" s="52"/>
      <c r="M64" s="52"/>
      <c r="N64" s="53"/>
      <c r="O64" s="59"/>
    </row>
    <row r="65" spans="1:15" ht="16.8" customHeight="1" x14ac:dyDescent="0.25">
      <c r="B65" s="68"/>
      <c r="C65" s="54"/>
      <c r="D65" s="52"/>
      <c r="E65" s="52"/>
      <c r="F65" s="63" t="s">
        <v>255</v>
      </c>
      <c r="G65" s="52"/>
      <c r="H65" s="52"/>
      <c r="I65" s="52"/>
      <c r="J65" s="52"/>
      <c r="K65" s="52"/>
      <c r="L65" s="52"/>
      <c r="M65" s="52"/>
      <c r="N65" s="53"/>
      <c r="O65" s="59"/>
    </row>
    <row r="66" spans="1:15" ht="16.8" customHeight="1" x14ac:dyDescent="0.25">
      <c r="B66" s="68"/>
      <c r="C66" s="54"/>
      <c r="D66" s="52"/>
      <c r="E66" s="52"/>
      <c r="F66" s="63" t="s">
        <v>256</v>
      </c>
      <c r="G66" s="52"/>
      <c r="H66" s="52"/>
      <c r="I66" s="52"/>
      <c r="J66" s="52"/>
      <c r="K66" s="52"/>
      <c r="L66" s="52"/>
      <c r="M66" s="52"/>
      <c r="N66" s="53"/>
      <c r="O66" s="59"/>
    </row>
    <row r="67" spans="1:15" ht="16.8" customHeight="1" x14ac:dyDescent="0.25">
      <c r="B67" s="68"/>
      <c r="C67" s="54"/>
      <c r="D67" s="52"/>
      <c r="E67" s="52"/>
      <c r="F67" s="52"/>
      <c r="G67" s="52"/>
      <c r="H67" s="52"/>
      <c r="I67" s="52"/>
      <c r="J67" s="52"/>
      <c r="K67" s="52"/>
      <c r="L67" s="52"/>
      <c r="M67" s="52"/>
      <c r="N67" s="53"/>
      <c r="O67" s="59"/>
    </row>
    <row r="68" spans="1:15" ht="16.8" customHeight="1" x14ac:dyDescent="0.25">
      <c r="B68" s="68"/>
      <c r="C68" s="54"/>
      <c r="D68" s="52"/>
      <c r="E68" s="52"/>
      <c r="F68" s="52"/>
      <c r="G68" s="52"/>
      <c r="H68" s="52"/>
      <c r="I68" s="52"/>
      <c r="J68" s="63" t="s">
        <v>257</v>
      </c>
      <c r="K68" s="52"/>
      <c r="L68" s="52"/>
      <c r="M68" s="52"/>
      <c r="N68" s="53"/>
      <c r="O68" s="59"/>
    </row>
    <row r="69" spans="1:15" x14ac:dyDescent="0.25">
      <c r="B69" s="68"/>
      <c r="C69" s="55"/>
      <c r="D69" s="56"/>
      <c r="E69" s="56"/>
      <c r="F69" s="56"/>
      <c r="G69" s="56"/>
      <c r="H69" s="56"/>
      <c r="I69" s="56"/>
      <c r="J69" s="56"/>
      <c r="K69" s="56"/>
      <c r="L69" s="56"/>
      <c r="M69" s="56"/>
      <c r="N69" s="57"/>
      <c r="O69" s="59"/>
    </row>
    <row r="70" spans="1:15" x14ac:dyDescent="0.25">
      <c r="B70" s="68"/>
      <c r="O70" s="59"/>
    </row>
    <row r="71" spans="1:15" ht="14.4" thickBot="1" x14ac:dyDescent="0.3">
      <c r="A71" s="59"/>
      <c r="B71" s="60"/>
      <c r="C71" s="69"/>
      <c r="D71" s="69"/>
      <c r="E71" s="69"/>
      <c r="F71" s="69"/>
      <c r="G71" s="69"/>
      <c r="H71" s="69"/>
      <c r="I71" s="69"/>
      <c r="J71" s="69"/>
      <c r="K71" s="69"/>
      <c r="L71" s="69"/>
      <c r="M71" s="69"/>
      <c r="N71" s="69"/>
      <c r="O71" s="61"/>
    </row>
    <row r="73" spans="1:15" s="62" customFormat="1" x14ac:dyDescent="0.25"/>
    <row r="75" spans="1:15" x14ac:dyDescent="0.25">
      <c r="B75" s="47"/>
      <c r="C75" s="48"/>
      <c r="D75" s="48"/>
      <c r="E75" s="48"/>
      <c r="F75" s="48"/>
      <c r="G75" s="76" t="s">
        <v>250</v>
      </c>
      <c r="H75" s="48"/>
      <c r="I75" s="48"/>
      <c r="J75" s="48"/>
      <c r="K75" s="48"/>
      <c r="L75" s="48"/>
      <c r="M75" s="49"/>
    </row>
    <row r="76" spans="1:15" x14ac:dyDescent="0.25">
      <c r="B76" s="72"/>
      <c r="C76" s="73" t="s">
        <v>253</v>
      </c>
      <c r="D76" s="74"/>
      <c r="E76" s="74"/>
      <c r="F76" s="74"/>
      <c r="G76" s="74"/>
      <c r="H76" s="74"/>
      <c r="I76" s="74"/>
      <c r="J76" s="74"/>
      <c r="K76" s="74" t="s">
        <v>233</v>
      </c>
      <c r="L76" s="74">
        <f>L14</f>
        <v>0</v>
      </c>
      <c r="M76" s="77">
        <v>0</v>
      </c>
    </row>
    <row r="77" spans="1:15" x14ac:dyDescent="0.25">
      <c r="B77" s="75"/>
      <c r="C77" s="56"/>
      <c r="D77" s="56"/>
      <c r="E77" s="56"/>
      <c r="F77" s="56"/>
      <c r="G77" s="56"/>
      <c r="H77" s="56"/>
      <c r="I77" s="56"/>
      <c r="J77" s="56"/>
      <c r="K77" s="56"/>
      <c r="L77" s="56"/>
      <c r="M77" s="57"/>
    </row>
    <row r="78" spans="1:15" x14ac:dyDescent="0.25">
      <c r="B78" s="64">
        <v>1</v>
      </c>
      <c r="C78" s="48" t="s">
        <v>5</v>
      </c>
      <c r="D78" s="48"/>
      <c r="E78" s="48"/>
      <c r="F78" s="48"/>
      <c r="G78" s="48"/>
      <c r="H78" s="48"/>
      <c r="I78" s="48"/>
      <c r="J78" s="48"/>
      <c r="K78" s="48"/>
      <c r="L78" s="48">
        <v>0</v>
      </c>
      <c r="M78" s="49"/>
    </row>
    <row r="79" spans="1:15" x14ac:dyDescent="0.25">
      <c r="B79" s="98"/>
      <c r="C79" s="56"/>
      <c r="D79" s="56"/>
      <c r="E79" s="56"/>
      <c r="F79" s="56"/>
      <c r="G79" s="56"/>
      <c r="H79" s="56"/>
      <c r="I79" s="56"/>
      <c r="J79" s="56"/>
      <c r="K79" s="56"/>
      <c r="L79" s="56"/>
      <c r="M79" s="57"/>
    </row>
    <row r="80" spans="1:15" x14ac:dyDescent="0.25">
      <c r="B80" s="64">
        <v>2</v>
      </c>
      <c r="C80" s="48" t="s">
        <v>16</v>
      </c>
      <c r="D80" s="48"/>
      <c r="E80" s="48"/>
      <c r="F80" s="48"/>
      <c r="G80" s="48"/>
      <c r="H80" s="48"/>
      <c r="I80" s="48"/>
      <c r="J80" s="48"/>
      <c r="K80" s="48"/>
      <c r="L80" s="48">
        <v>0</v>
      </c>
      <c r="M80" s="49"/>
    </row>
    <row r="81" spans="2:13" x14ac:dyDescent="0.25">
      <c r="B81" s="98"/>
      <c r="C81" s="56"/>
      <c r="D81" s="56"/>
      <c r="E81" s="56"/>
      <c r="F81" s="56"/>
      <c r="G81" s="56"/>
      <c r="H81" s="56"/>
      <c r="I81" s="56"/>
      <c r="J81" s="56"/>
      <c r="K81" s="56"/>
      <c r="L81" s="56"/>
      <c r="M81" s="57"/>
    </row>
    <row r="82" spans="2:13" x14ac:dyDescent="0.25">
      <c r="B82" s="64">
        <v>3</v>
      </c>
      <c r="C82" s="48" t="s">
        <v>251</v>
      </c>
      <c r="D82" s="48"/>
      <c r="E82" s="48"/>
      <c r="F82" s="48"/>
      <c r="G82" s="48"/>
      <c r="H82" s="48"/>
      <c r="I82" s="48"/>
      <c r="J82" s="48"/>
      <c r="K82" s="48"/>
      <c r="L82" s="48"/>
      <c r="M82" s="49"/>
    </row>
    <row r="83" spans="2:13" x14ac:dyDescent="0.25">
      <c r="B83" s="99"/>
      <c r="C83" s="52"/>
      <c r="D83" s="52"/>
      <c r="E83" s="52"/>
      <c r="F83" s="52"/>
      <c r="G83" s="52"/>
      <c r="H83" s="52"/>
      <c r="I83" s="52"/>
      <c r="J83" s="52"/>
      <c r="K83" s="52"/>
      <c r="L83" s="52"/>
      <c r="M83" s="53"/>
    </row>
    <row r="84" spans="2:13" x14ac:dyDescent="0.25">
      <c r="B84" s="99"/>
      <c r="C84" s="52" t="s">
        <v>7</v>
      </c>
      <c r="D84" s="52"/>
      <c r="E84" s="52"/>
      <c r="F84" s="52"/>
      <c r="G84" s="52"/>
      <c r="H84" s="52"/>
      <c r="I84" s="52"/>
      <c r="J84" s="52"/>
      <c r="K84" s="52"/>
      <c r="L84" s="52">
        <v>0</v>
      </c>
      <c r="M84" s="53"/>
    </row>
    <row r="85" spans="2:13" x14ac:dyDescent="0.25">
      <c r="B85" s="99"/>
      <c r="C85" s="52"/>
      <c r="D85" s="52"/>
      <c r="E85" s="52"/>
      <c r="F85" s="52"/>
      <c r="G85" s="52"/>
      <c r="H85" s="52"/>
      <c r="I85" s="52"/>
      <c r="J85" s="52"/>
      <c r="K85" s="52"/>
      <c r="L85" s="52"/>
      <c r="M85" s="53"/>
    </row>
    <row r="86" spans="2:13" x14ac:dyDescent="0.25">
      <c r="B86" s="99"/>
      <c r="C86" s="52" t="s">
        <v>252</v>
      </c>
      <c r="D86" s="52"/>
      <c r="E86" s="52"/>
      <c r="F86" s="52"/>
      <c r="G86" s="52"/>
      <c r="H86" s="52"/>
      <c r="I86" s="52"/>
      <c r="J86" s="52"/>
      <c r="K86" s="52"/>
      <c r="L86" s="52"/>
      <c r="M86" s="53"/>
    </row>
    <row r="87" spans="2:13" x14ac:dyDescent="0.25">
      <c r="B87" s="98"/>
      <c r="C87" s="56"/>
      <c r="D87" s="56"/>
      <c r="E87" s="56"/>
      <c r="F87" s="56"/>
      <c r="G87" s="56"/>
      <c r="H87" s="56"/>
      <c r="I87" s="56"/>
      <c r="J87" s="56"/>
      <c r="K87" s="56"/>
      <c r="L87" s="56"/>
      <c r="M87" s="57"/>
    </row>
    <row r="88" spans="2:13" x14ac:dyDescent="0.25">
      <c r="B88" s="64">
        <v>4</v>
      </c>
      <c r="C88" s="48" t="s">
        <v>14</v>
      </c>
      <c r="D88" s="48"/>
      <c r="E88" s="48"/>
      <c r="F88" s="48"/>
      <c r="G88" s="48"/>
      <c r="H88" s="48"/>
      <c r="I88" s="48"/>
      <c r="J88" s="48"/>
      <c r="K88" s="48"/>
      <c r="L88" s="48">
        <f>IF(OR(L80&gt;0, L101&gt;0), 6000, 0)</f>
        <v>0</v>
      </c>
      <c r="M88" s="49"/>
    </row>
    <row r="89" spans="2:13" x14ac:dyDescent="0.25">
      <c r="B89" s="98"/>
      <c r="C89" s="56"/>
      <c r="D89" s="56"/>
      <c r="E89" s="56"/>
      <c r="F89" s="56"/>
      <c r="G89" s="56"/>
      <c r="H89" s="56"/>
      <c r="I89" s="56"/>
      <c r="J89" s="56"/>
      <c r="K89" s="56"/>
      <c r="L89" s="56"/>
      <c r="M89" s="57"/>
    </row>
    <row r="90" spans="2:13" x14ac:dyDescent="0.25">
      <c r="B90" s="64">
        <v>5</v>
      </c>
      <c r="C90" s="48" t="s">
        <v>17</v>
      </c>
      <c r="D90" s="48"/>
      <c r="E90" s="48"/>
      <c r="F90" s="48"/>
      <c r="G90" s="48"/>
      <c r="H90" s="48"/>
      <c r="I90" s="48"/>
      <c r="J90" s="48"/>
      <c r="K90" s="48"/>
      <c r="L90" s="48">
        <v>0</v>
      </c>
      <c r="M90" s="49"/>
    </row>
    <row r="91" spans="2:13" x14ac:dyDescent="0.25">
      <c r="B91" s="98"/>
      <c r="C91" s="56"/>
      <c r="D91" s="56"/>
      <c r="E91" s="56"/>
      <c r="F91" s="56"/>
      <c r="G91" s="56"/>
      <c r="H91" s="56"/>
      <c r="I91" s="56"/>
      <c r="J91" s="56"/>
      <c r="K91" s="56"/>
      <c r="L91" s="56"/>
      <c r="M91" s="57"/>
    </row>
    <row r="92" spans="2:13" x14ac:dyDescent="0.25">
      <c r="B92" s="64">
        <v>6</v>
      </c>
      <c r="C92" s="48" t="s">
        <v>258</v>
      </c>
      <c r="D92" s="48"/>
      <c r="E92" s="48"/>
      <c r="F92" s="48"/>
      <c r="G92" s="48"/>
      <c r="H92" s="48"/>
      <c r="I92" s="48"/>
      <c r="J92" s="48"/>
      <c r="K92" s="48"/>
      <c r="L92" s="48">
        <v>0</v>
      </c>
      <c r="M92" s="49"/>
    </row>
    <row r="93" spans="2:13" x14ac:dyDescent="0.25">
      <c r="B93" s="98"/>
      <c r="C93" s="56"/>
      <c r="D93" s="56"/>
      <c r="E93" s="56"/>
      <c r="F93" s="56"/>
      <c r="G93" s="56"/>
      <c r="H93" s="56"/>
      <c r="I93" s="56"/>
      <c r="J93" s="56"/>
      <c r="K93" s="56"/>
      <c r="L93" s="56"/>
      <c r="M93" s="57"/>
    </row>
    <row r="94" spans="2:13" x14ac:dyDescent="0.25">
      <c r="B94" s="64">
        <v>7</v>
      </c>
      <c r="C94" s="48" t="s">
        <v>259</v>
      </c>
      <c r="D94" s="48"/>
      <c r="E94" s="48"/>
      <c r="F94" s="48"/>
      <c r="G94" s="48"/>
      <c r="H94" s="48"/>
      <c r="I94" s="48"/>
      <c r="J94" s="48"/>
      <c r="K94" s="48"/>
      <c r="L94" s="48">
        <v>0</v>
      </c>
      <c r="M94" s="49"/>
    </row>
    <row r="95" spans="2:13" x14ac:dyDescent="0.25">
      <c r="B95" s="99"/>
      <c r="C95" s="52" t="s">
        <v>260</v>
      </c>
      <c r="D95" s="52"/>
      <c r="E95" s="52"/>
      <c r="F95" s="52"/>
      <c r="G95" s="52"/>
      <c r="H95" s="52"/>
      <c r="I95" s="52"/>
      <c r="J95" s="52"/>
      <c r="K95" s="52"/>
      <c r="L95" s="52">
        <v>0</v>
      </c>
      <c r="M95" s="53"/>
    </row>
    <row r="96" spans="2:13" x14ac:dyDescent="0.25">
      <c r="B96" s="98"/>
      <c r="C96" s="56"/>
      <c r="D96" s="56"/>
      <c r="E96" s="56"/>
      <c r="F96" s="56"/>
      <c r="G96" s="56"/>
      <c r="H96" s="56"/>
      <c r="I96" s="56"/>
      <c r="J96" s="56"/>
      <c r="K96" s="56"/>
      <c r="L96" s="56"/>
      <c r="M96" s="57"/>
    </row>
    <row r="97" spans="2:13" x14ac:dyDescent="0.25">
      <c r="B97" s="64">
        <v>8</v>
      </c>
      <c r="C97" s="48" t="s">
        <v>262</v>
      </c>
      <c r="D97" s="48"/>
      <c r="E97" s="48"/>
      <c r="F97" s="48"/>
      <c r="G97" s="48"/>
      <c r="H97" s="48"/>
      <c r="I97" s="48"/>
      <c r="J97" s="48"/>
      <c r="K97" s="48"/>
      <c r="L97" s="48">
        <f>IF(L41&gt;0, 8000, 0)</f>
        <v>0</v>
      </c>
      <c r="M97" s="49"/>
    </row>
    <row r="98" spans="2:13" x14ac:dyDescent="0.25">
      <c r="B98" s="98"/>
      <c r="C98" s="56"/>
      <c r="D98" s="56"/>
      <c r="E98" s="56"/>
      <c r="F98" s="56"/>
      <c r="G98" s="56"/>
      <c r="H98" s="56"/>
      <c r="I98" s="56"/>
      <c r="J98" s="56"/>
      <c r="K98" s="56"/>
      <c r="L98" s="56"/>
      <c r="M98" s="57"/>
    </row>
    <row r="99" spans="2:13" x14ac:dyDescent="0.25">
      <c r="B99" s="64">
        <v>9</v>
      </c>
      <c r="C99" s="48" t="s">
        <v>38</v>
      </c>
      <c r="D99" s="48"/>
      <c r="E99" s="48"/>
      <c r="F99" s="48"/>
      <c r="G99" s="48"/>
      <c r="H99" s="48"/>
      <c r="I99" s="48"/>
      <c r="J99" s="48"/>
      <c r="K99" s="48"/>
      <c r="L99" s="48">
        <v>0</v>
      </c>
      <c r="M99" s="49"/>
    </row>
    <row r="100" spans="2:13" x14ac:dyDescent="0.25">
      <c r="B100" s="98"/>
      <c r="C100" s="56"/>
      <c r="D100" s="56"/>
      <c r="E100" s="56"/>
      <c r="F100" s="56"/>
      <c r="G100" s="56"/>
      <c r="H100" s="56"/>
      <c r="I100" s="56"/>
      <c r="J100" s="56"/>
      <c r="K100" s="56"/>
      <c r="L100" s="56"/>
      <c r="M100" s="57"/>
    </row>
    <row r="101" spans="2:13" x14ac:dyDescent="0.25">
      <c r="B101" s="100">
        <v>10</v>
      </c>
      <c r="C101" s="48" t="s">
        <v>40</v>
      </c>
      <c r="D101" s="48"/>
      <c r="E101" s="48"/>
      <c r="F101" s="48"/>
      <c r="G101" s="48"/>
      <c r="H101" s="48"/>
      <c r="I101" s="48"/>
      <c r="J101" s="48"/>
      <c r="K101" s="48"/>
      <c r="L101" s="48">
        <v>0</v>
      </c>
      <c r="M101" s="49"/>
    </row>
    <row r="102" spans="2:13" x14ac:dyDescent="0.25">
      <c r="B102" s="98"/>
      <c r="C102" s="55"/>
      <c r="D102" s="56"/>
      <c r="E102" s="56"/>
      <c r="F102" s="56"/>
      <c r="G102" s="56"/>
      <c r="H102" s="56"/>
      <c r="I102" s="56"/>
      <c r="J102" s="56"/>
      <c r="K102" s="56"/>
      <c r="L102" s="56"/>
      <c r="M102" s="57"/>
    </row>
    <row r="103" spans="2:13" x14ac:dyDescent="0.25">
      <c r="B103" s="71">
        <v>11</v>
      </c>
      <c r="C103" s="47" t="s">
        <v>283</v>
      </c>
      <c r="D103" s="48"/>
      <c r="E103" s="48"/>
      <c r="F103" s="48"/>
      <c r="G103" s="48"/>
      <c r="H103" s="48"/>
      <c r="I103" s="48"/>
      <c r="J103" s="48"/>
      <c r="K103" s="48"/>
      <c r="L103" s="48">
        <f>L19*2000</f>
        <v>0</v>
      </c>
      <c r="M103" s="49"/>
    </row>
    <row r="104" spans="2:13" x14ac:dyDescent="0.25">
      <c r="B104" s="99"/>
      <c r="C104" s="52"/>
      <c r="D104" s="52"/>
      <c r="E104" s="52"/>
      <c r="F104" s="52"/>
      <c r="G104" s="52"/>
      <c r="H104" s="52"/>
      <c r="I104" s="52"/>
      <c r="J104" s="52"/>
      <c r="K104" s="52"/>
      <c r="L104" s="52"/>
      <c r="M104" s="53"/>
    </row>
    <row r="105" spans="2:13" x14ac:dyDescent="0.25">
      <c r="B105" s="99"/>
      <c r="C105" s="52" t="s">
        <v>284</v>
      </c>
      <c r="D105" s="52"/>
      <c r="E105" s="52"/>
      <c r="F105" s="52"/>
      <c r="G105" s="52"/>
      <c r="H105" s="52"/>
      <c r="I105" s="52"/>
      <c r="J105" s="52"/>
      <c r="K105" s="52"/>
      <c r="L105" s="52">
        <f>L21*8000</f>
        <v>0</v>
      </c>
      <c r="M105" s="53"/>
    </row>
    <row r="106" spans="2:13" x14ac:dyDescent="0.25">
      <c r="B106" s="99"/>
      <c r="C106" s="52" t="s">
        <v>285</v>
      </c>
      <c r="D106" s="52"/>
      <c r="E106" s="52"/>
      <c r="F106" s="52"/>
      <c r="G106" s="52"/>
      <c r="H106" s="52"/>
      <c r="I106" s="52"/>
      <c r="J106" s="52"/>
      <c r="K106" s="52"/>
      <c r="L106" s="52">
        <f>L26*6000</f>
        <v>0</v>
      </c>
      <c r="M106" s="53"/>
    </row>
    <row r="107" spans="2:13" x14ac:dyDescent="0.25">
      <c r="B107" s="99"/>
      <c r="C107" s="52" t="s">
        <v>286</v>
      </c>
      <c r="D107" s="52"/>
      <c r="E107" s="52"/>
      <c r="F107" s="52"/>
      <c r="G107" s="52"/>
      <c r="H107" s="52"/>
      <c r="I107" s="52"/>
      <c r="J107" s="52"/>
      <c r="K107" s="52"/>
      <c r="L107" s="52">
        <f>L28*8000</f>
        <v>0</v>
      </c>
      <c r="M107" s="53"/>
    </row>
    <row r="108" spans="2:13" x14ac:dyDescent="0.25">
      <c r="B108" s="98"/>
      <c r="C108" s="56"/>
      <c r="D108" s="56"/>
      <c r="E108" s="56"/>
      <c r="F108" s="56"/>
      <c r="G108" s="56"/>
      <c r="H108" s="56"/>
      <c r="I108" s="56"/>
      <c r="J108" s="56"/>
      <c r="K108" s="56"/>
      <c r="L108" s="56"/>
      <c r="M108" s="57"/>
    </row>
    <row r="109" spans="2:13" x14ac:dyDescent="0.25">
      <c r="B109" s="100">
        <v>12</v>
      </c>
      <c r="C109" s="48" t="s">
        <v>265</v>
      </c>
      <c r="D109" s="48"/>
      <c r="E109" s="48"/>
      <c r="F109" s="48"/>
      <c r="G109" s="48"/>
      <c r="H109" s="48"/>
      <c r="I109" s="48"/>
      <c r="J109" s="48"/>
      <c r="K109" s="48"/>
      <c r="L109" s="48">
        <v>0</v>
      </c>
      <c r="M109" s="49"/>
    </row>
    <row r="110" spans="2:13" x14ac:dyDescent="0.25">
      <c r="B110" s="98"/>
      <c r="C110" s="56"/>
      <c r="D110" s="56"/>
      <c r="E110" s="56"/>
      <c r="F110" s="56"/>
      <c r="G110" s="56"/>
      <c r="H110" s="56"/>
      <c r="I110" s="56"/>
      <c r="J110" s="56"/>
      <c r="K110" s="56"/>
      <c r="L110" s="56"/>
      <c r="M110" s="57"/>
    </row>
    <row r="111" spans="2:13" x14ac:dyDescent="0.25">
      <c r="B111" s="100">
        <v>13</v>
      </c>
      <c r="C111" s="48" t="s">
        <v>34</v>
      </c>
      <c r="D111" s="48"/>
      <c r="E111" s="48"/>
      <c r="F111" s="48"/>
      <c r="G111" s="48"/>
      <c r="H111" s="48"/>
      <c r="I111" s="48"/>
      <c r="J111" s="48"/>
      <c r="K111" s="48"/>
      <c r="L111" s="48">
        <v>0</v>
      </c>
      <c r="M111" s="49"/>
    </row>
    <row r="112" spans="2:13" x14ac:dyDescent="0.25">
      <c r="B112" s="98"/>
      <c r="C112" s="56"/>
      <c r="D112" s="56"/>
      <c r="E112" s="56"/>
      <c r="F112" s="56"/>
      <c r="G112" s="56"/>
      <c r="H112" s="56"/>
      <c r="I112" s="56"/>
      <c r="J112" s="56"/>
      <c r="K112" s="56"/>
      <c r="L112" s="56"/>
      <c r="M112" s="57"/>
    </row>
    <row r="113" spans="2:13" x14ac:dyDescent="0.25">
      <c r="B113" s="100">
        <v>14</v>
      </c>
      <c r="C113" s="48" t="s">
        <v>266</v>
      </c>
      <c r="D113" s="48"/>
      <c r="E113" s="48"/>
      <c r="F113" s="48"/>
      <c r="G113" s="48"/>
      <c r="H113" s="48"/>
      <c r="I113" s="48"/>
      <c r="J113" s="48"/>
      <c r="K113" s="48"/>
      <c r="L113" s="48">
        <f>IF(L46&gt;0, 3000, 0)</f>
        <v>0</v>
      </c>
      <c r="M113" s="49"/>
    </row>
    <row r="114" spans="2:13" x14ac:dyDescent="0.25">
      <c r="B114" s="99"/>
      <c r="C114" s="52" t="s">
        <v>267</v>
      </c>
      <c r="D114" s="52"/>
      <c r="E114" s="52"/>
      <c r="F114" s="52"/>
      <c r="G114" s="52"/>
      <c r="H114" s="52"/>
      <c r="I114" s="52"/>
      <c r="J114" s="52"/>
      <c r="K114" s="52"/>
      <c r="L114" s="52">
        <v>4000</v>
      </c>
      <c r="M114" s="53"/>
    </row>
    <row r="115" spans="2:13" x14ac:dyDescent="0.25">
      <c r="B115" s="98"/>
      <c r="C115" s="56"/>
      <c r="D115" s="56"/>
      <c r="E115" s="56"/>
      <c r="F115" s="56"/>
      <c r="G115" s="56"/>
      <c r="H115" s="56"/>
      <c r="I115" s="56"/>
      <c r="J115" s="56"/>
      <c r="K115" s="56"/>
      <c r="L115" s="56"/>
      <c r="M115" s="57"/>
    </row>
    <row r="116" spans="2:13" x14ac:dyDescent="0.25">
      <c r="B116" s="100">
        <v>15</v>
      </c>
      <c r="C116" s="48" t="s">
        <v>268</v>
      </c>
      <c r="D116" s="48"/>
      <c r="E116" s="48"/>
      <c r="F116" s="48"/>
      <c r="G116" s="48"/>
      <c r="H116" s="48"/>
      <c r="I116" s="48"/>
      <c r="J116" s="48"/>
      <c r="K116" s="48"/>
      <c r="L116" s="48">
        <f>IF(OR(L39&gt;0, L48&gt;0), 3000, 0)</f>
        <v>0</v>
      </c>
      <c r="M116" s="49"/>
    </row>
    <row r="117" spans="2:13" x14ac:dyDescent="0.25">
      <c r="B117" s="98"/>
      <c r="C117" s="56"/>
      <c r="D117" s="56"/>
      <c r="E117" s="56"/>
      <c r="F117" s="56"/>
      <c r="G117" s="56"/>
      <c r="H117" s="56"/>
      <c r="I117" s="56"/>
      <c r="J117" s="56"/>
      <c r="K117" s="56"/>
      <c r="L117" s="56"/>
      <c r="M117" s="57"/>
    </row>
    <row r="118" spans="2:13" x14ac:dyDescent="0.25">
      <c r="B118" s="100">
        <v>16</v>
      </c>
      <c r="C118" s="48" t="s">
        <v>269</v>
      </c>
      <c r="D118" s="48"/>
      <c r="E118" s="48"/>
      <c r="F118" s="48"/>
      <c r="G118" s="48"/>
      <c r="H118" s="48"/>
      <c r="I118" s="48"/>
      <c r="J118" s="48"/>
      <c r="K118" s="48"/>
      <c r="L118" s="48">
        <f>IF(L50&gt;0, 3000, 0)</f>
        <v>0</v>
      </c>
      <c r="M118" s="49"/>
    </row>
    <row r="119" spans="2:13" x14ac:dyDescent="0.25">
      <c r="B119" s="98"/>
      <c r="C119" s="56"/>
      <c r="D119" s="56"/>
      <c r="E119" s="56"/>
      <c r="F119" s="56"/>
      <c r="G119" s="56"/>
      <c r="H119" s="56"/>
      <c r="I119" s="56"/>
      <c r="J119" s="56"/>
      <c r="K119" s="56"/>
      <c r="L119" s="56"/>
      <c r="M119" s="57"/>
    </row>
    <row r="120" spans="2:13" x14ac:dyDescent="0.25">
      <c r="B120" s="100">
        <v>17</v>
      </c>
      <c r="C120" s="48" t="s">
        <v>270</v>
      </c>
      <c r="D120" s="48"/>
      <c r="E120" s="48"/>
      <c r="F120" s="48"/>
      <c r="G120" s="48"/>
      <c r="H120" s="48"/>
      <c r="I120" s="48"/>
      <c r="J120" s="48"/>
      <c r="K120" s="48"/>
      <c r="L120" s="48">
        <v>250</v>
      </c>
      <c r="M120" s="49"/>
    </row>
    <row r="121" spans="2:13" x14ac:dyDescent="0.25">
      <c r="B121" s="98"/>
      <c r="C121" s="56"/>
      <c r="D121" s="56"/>
      <c r="E121" s="56"/>
      <c r="F121" s="56"/>
      <c r="G121" s="56"/>
      <c r="H121" s="56"/>
      <c r="I121" s="56"/>
      <c r="J121" s="56"/>
      <c r="K121" s="56"/>
      <c r="L121" s="56"/>
      <c r="M121" s="57"/>
    </row>
    <row r="122" spans="2:13" x14ac:dyDescent="0.25">
      <c r="B122" s="100">
        <v>18</v>
      </c>
      <c r="C122" s="48" t="s">
        <v>271</v>
      </c>
      <c r="D122" s="48"/>
      <c r="E122" s="48"/>
      <c r="F122" s="48"/>
      <c r="G122" s="48"/>
      <c r="H122" s="48"/>
      <c r="I122" s="48"/>
      <c r="J122" s="48"/>
      <c r="K122" s="48"/>
      <c r="L122" s="48">
        <v>0</v>
      </c>
      <c r="M122" s="49"/>
    </row>
    <row r="123" spans="2:13" x14ac:dyDescent="0.25">
      <c r="B123" s="98"/>
      <c r="C123" s="56"/>
      <c r="D123" s="56"/>
      <c r="E123" s="56"/>
      <c r="F123" s="56"/>
      <c r="G123" s="56"/>
      <c r="H123" s="56"/>
      <c r="I123" s="56"/>
      <c r="J123" s="56"/>
      <c r="K123" s="52"/>
      <c r="L123" s="52"/>
      <c r="M123" s="53"/>
    </row>
    <row r="124" spans="2:13" ht="14.4" x14ac:dyDescent="0.3">
      <c r="B124" s="70"/>
      <c r="C124" s="94" t="s">
        <v>272</v>
      </c>
      <c r="D124" s="95"/>
      <c r="E124" s="95"/>
      <c r="F124" s="95"/>
      <c r="G124" s="95"/>
      <c r="H124" s="95"/>
      <c r="I124" s="95"/>
      <c r="J124" s="95"/>
      <c r="K124" s="96" t="s">
        <v>233</v>
      </c>
      <c r="L124" s="96">
        <f>SUM(L78:L122)</f>
        <v>4250</v>
      </c>
      <c r="M124" s="97">
        <v>0</v>
      </c>
    </row>
    <row r="125" spans="2:13" ht="14.4" x14ac:dyDescent="0.3">
      <c r="B125" s="72"/>
      <c r="C125" s="73" t="s">
        <v>273</v>
      </c>
      <c r="D125" s="74"/>
      <c r="E125" s="74"/>
      <c r="F125" s="74"/>
      <c r="G125" s="74"/>
      <c r="H125" s="74"/>
      <c r="I125" s="74"/>
      <c r="J125" s="74"/>
      <c r="K125" s="78" t="s">
        <v>233</v>
      </c>
      <c r="L125" s="78">
        <f>IF((L76-L124)&lt;0, 0, L76-L124)</f>
        <v>0</v>
      </c>
      <c r="M125" s="90">
        <v>0</v>
      </c>
    </row>
    <row r="126" spans="2:13" x14ac:dyDescent="0.25">
      <c r="B126" s="54"/>
      <c r="C126" s="52"/>
      <c r="D126" s="52"/>
      <c r="E126" s="52"/>
      <c r="F126" s="52"/>
      <c r="G126" s="52"/>
      <c r="H126" s="52"/>
      <c r="I126" s="52"/>
      <c r="J126" s="52"/>
      <c r="K126" s="52"/>
      <c r="L126" s="52"/>
      <c r="M126" s="53"/>
    </row>
    <row r="127" spans="2:13" ht="15.6" x14ac:dyDescent="0.25">
      <c r="B127" s="91" t="s">
        <v>274</v>
      </c>
      <c r="C127" s="92"/>
      <c r="D127" s="92"/>
      <c r="E127" s="92"/>
      <c r="F127" s="92"/>
      <c r="G127" s="92"/>
      <c r="H127" s="92"/>
      <c r="I127" s="92"/>
      <c r="J127" s="92"/>
      <c r="K127" s="92"/>
      <c r="L127" s="92"/>
      <c r="M127" s="93"/>
    </row>
    <row r="128" spans="2:13" s="1" customFormat="1" ht="16.8" customHeight="1" x14ac:dyDescent="0.3">
      <c r="B128" s="101"/>
      <c r="C128" s="102" t="s">
        <v>275</v>
      </c>
      <c r="D128" s="103"/>
      <c r="E128" s="103"/>
      <c r="F128" s="103"/>
      <c r="G128" s="103"/>
      <c r="H128" s="103"/>
      <c r="I128" s="103"/>
      <c r="J128" s="103"/>
      <c r="K128" s="104" t="s">
        <v>233</v>
      </c>
      <c r="L128" s="106">
        <f>VLOOKUP(L125, ITR!B4:F15, 5, TRUE) + VLOOKUP(L125, ITR!B4:F15, 4, TRUE) * (L125 - VLOOKUP(L125, ITR!B4:F15, 3, TRUE))</f>
        <v>0</v>
      </c>
      <c r="M128" s="107"/>
    </row>
  </sheetData>
  <mergeCells count="2">
    <mergeCell ref="B127:M127"/>
    <mergeCell ref="L128:M128"/>
  </mergeCells>
  <pageMargins left="0.7" right="0.7" top="0.75" bottom="0.75" header="0.3" footer="0.3"/>
  <pageSetup orientation="portrait" r:id="rId1"/>
  <drawing r:id="rId2"/>
  <legacyDrawing r:id="rId3"/>
  <controls>
    <mc:AlternateContent xmlns:mc="http://schemas.openxmlformats.org/markup-compatibility/2006">
      <mc:Choice Requires="x14">
        <control shapeId="1117" r:id="rId4" name="chkboxOther5">
          <controlPr defaultSize="0" autoLine="0" autoPict="0" r:id="rId5">
            <anchor moveWithCells="1">
              <from>
                <xdr:col>2</xdr:col>
                <xdr:colOff>7620</xdr:colOff>
                <xdr:row>67</xdr:row>
                <xdr:rowOff>7620</xdr:rowOff>
              </from>
              <to>
                <xdr:col>8</xdr:col>
                <xdr:colOff>594360</xdr:colOff>
                <xdr:row>67</xdr:row>
                <xdr:rowOff>182880</xdr:rowOff>
              </to>
            </anchor>
          </controlPr>
        </control>
      </mc:Choice>
      <mc:Fallback>
        <control shapeId="1117" r:id="rId4" name="chkboxOther5"/>
      </mc:Fallback>
    </mc:AlternateContent>
    <mc:AlternateContent xmlns:mc="http://schemas.openxmlformats.org/markup-compatibility/2006">
      <mc:Choice Requires="x14">
        <control shapeId="1116" r:id="rId6" name="chkboxOther4">
          <controlPr defaultSize="0" autoLine="0" r:id="rId7">
            <anchor moveWithCells="1">
              <from>
                <xdr:col>2</xdr:col>
                <xdr:colOff>7620</xdr:colOff>
                <xdr:row>66</xdr:row>
                <xdr:rowOff>7620</xdr:rowOff>
              </from>
              <to>
                <xdr:col>11</xdr:col>
                <xdr:colOff>0</xdr:colOff>
                <xdr:row>66</xdr:row>
                <xdr:rowOff>190500</xdr:rowOff>
              </to>
            </anchor>
          </controlPr>
        </control>
      </mc:Choice>
      <mc:Fallback>
        <control shapeId="1116" r:id="rId6" name="chkboxOther4"/>
      </mc:Fallback>
    </mc:AlternateContent>
    <mc:AlternateContent xmlns:mc="http://schemas.openxmlformats.org/markup-compatibility/2006">
      <mc:Choice Requires="x14">
        <control shapeId="1115" r:id="rId8" name="chkboxOther3">
          <controlPr defaultSize="0" autoLine="0" autoPict="0" r:id="rId9">
            <anchor moveWithCells="1">
              <from>
                <xdr:col>2</xdr:col>
                <xdr:colOff>7620</xdr:colOff>
                <xdr:row>65</xdr:row>
                <xdr:rowOff>7620</xdr:rowOff>
              </from>
              <to>
                <xdr:col>5</xdr:col>
                <xdr:colOff>0</xdr:colOff>
                <xdr:row>65</xdr:row>
                <xdr:rowOff>190500</xdr:rowOff>
              </to>
            </anchor>
          </controlPr>
        </control>
      </mc:Choice>
      <mc:Fallback>
        <control shapeId="1115" r:id="rId8" name="chkboxOther3"/>
      </mc:Fallback>
    </mc:AlternateContent>
    <mc:AlternateContent xmlns:mc="http://schemas.openxmlformats.org/markup-compatibility/2006">
      <mc:Choice Requires="x14">
        <control shapeId="1114" r:id="rId10" name="chkboxOther2">
          <controlPr defaultSize="0" autoLine="0" autoPict="0" r:id="rId11">
            <anchor moveWithCells="1">
              <from>
                <xdr:col>2</xdr:col>
                <xdr:colOff>7620</xdr:colOff>
                <xdr:row>64</xdr:row>
                <xdr:rowOff>7620</xdr:rowOff>
              </from>
              <to>
                <xdr:col>4</xdr:col>
                <xdr:colOff>746760</xdr:colOff>
                <xdr:row>64</xdr:row>
                <xdr:rowOff>190500</xdr:rowOff>
              </to>
            </anchor>
          </controlPr>
        </control>
      </mc:Choice>
      <mc:Fallback>
        <control shapeId="1114" r:id="rId10" name="chkboxOther2"/>
      </mc:Fallback>
    </mc:AlternateContent>
    <mc:AlternateContent xmlns:mc="http://schemas.openxmlformats.org/markup-compatibility/2006">
      <mc:Choice Requires="x14">
        <control shapeId="1113" r:id="rId12" name="chkboxOther1">
          <controlPr defaultSize="0" autoLine="0" r:id="rId13">
            <anchor moveWithCells="1">
              <from>
                <xdr:col>2</xdr:col>
                <xdr:colOff>7620</xdr:colOff>
                <xdr:row>63</xdr:row>
                <xdr:rowOff>7620</xdr:rowOff>
              </from>
              <to>
                <xdr:col>6</xdr:col>
                <xdr:colOff>0</xdr:colOff>
                <xdr:row>64</xdr:row>
                <xdr:rowOff>0</xdr:rowOff>
              </to>
            </anchor>
          </controlPr>
        </control>
      </mc:Choice>
      <mc:Fallback>
        <control shapeId="1113" r:id="rId12" name="chkboxOther1"/>
      </mc:Fallback>
    </mc:AlternateContent>
    <mc:AlternateContent xmlns:mc="http://schemas.openxmlformats.org/markup-compatibility/2006">
      <mc:Choice Requires="x14">
        <control shapeId="1112" r:id="rId14" name="chkboxMedical3">
          <controlPr defaultSize="0" autoLine="0" autoPict="0" r:id="rId15">
            <anchor moveWithCells="1">
              <from>
                <xdr:col>2</xdr:col>
                <xdr:colOff>7620</xdr:colOff>
                <xdr:row>57</xdr:row>
                <xdr:rowOff>7620</xdr:rowOff>
              </from>
              <to>
                <xdr:col>7</xdr:col>
                <xdr:colOff>601980</xdr:colOff>
                <xdr:row>57</xdr:row>
                <xdr:rowOff>198120</xdr:rowOff>
              </to>
            </anchor>
          </controlPr>
        </control>
      </mc:Choice>
      <mc:Fallback>
        <control shapeId="1112" r:id="rId14" name="chkboxMedical3"/>
      </mc:Fallback>
    </mc:AlternateContent>
    <mc:AlternateContent xmlns:mc="http://schemas.openxmlformats.org/markup-compatibility/2006">
      <mc:Choice Requires="x14">
        <control shapeId="1111" r:id="rId16" name="chkboxMedical2">
          <controlPr defaultSize="0" autoLine="0" autoPict="0" r:id="rId17">
            <anchor moveWithCells="1">
              <from>
                <xdr:col>2</xdr:col>
                <xdr:colOff>7620</xdr:colOff>
                <xdr:row>56</xdr:row>
                <xdr:rowOff>7620</xdr:rowOff>
              </from>
              <to>
                <xdr:col>7</xdr:col>
                <xdr:colOff>0</xdr:colOff>
                <xdr:row>56</xdr:row>
                <xdr:rowOff>205740</xdr:rowOff>
              </to>
            </anchor>
          </controlPr>
        </control>
      </mc:Choice>
      <mc:Fallback>
        <control shapeId="1111" r:id="rId16" name="chkboxMedical2"/>
      </mc:Fallback>
    </mc:AlternateContent>
    <mc:AlternateContent xmlns:mc="http://schemas.openxmlformats.org/markup-compatibility/2006">
      <mc:Choice Requires="x14">
        <control shapeId="1110" r:id="rId18" name="chkboxMedical1">
          <controlPr defaultSize="0" autoLine="0" r:id="rId19">
            <anchor moveWithCells="1">
              <from>
                <xdr:col>2</xdr:col>
                <xdr:colOff>7620</xdr:colOff>
                <xdr:row>55</xdr:row>
                <xdr:rowOff>7620</xdr:rowOff>
              </from>
              <to>
                <xdr:col>6</xdr:col>
                <xdr:colOff>0</xdr:colOff>
                <xdr:row>56</xdr:row>
                <xdr:rowOff>0</xdr:rowOff>
              </to>
            </anchor>
          </controlPr>
        </control>
      </mc:Choice>
      <mc:Fallback>
        <control shapeId="1110" r:id="rId18" name="chkboxMedical1"/>
      </mc:Fallback>
    </mc:AlternateContent>
    <mc:AlternateContent xmlns:mc="http://schemas.openxmlformats.org/markup-compatibility/2006">
      <mc:Choice Requires="x14">
        <control shapeId="1109" r:id="rId20" name="btnNoEducation">
          <controlPr defaultSize="0" autoLine="0" r:id="rId21">
            <anchor>
              <from>
                <xdr:col>4</xdr:col>
                <xdr:colOff>15240</xdr:colOff>
                <xdr:row>36</xdr:row>
                <xdr:rowOff>53340</xdr:rowOff>
              </from>
              <to>
                <xdr:col>5</xdr:col>
                <xdr:colOff>601980</xdr:colOff>
                <xdr:row>37</xdr:row>
                <xdr:rowOff>38100</xdr:rowOff>
              </to>
            </anchor>
          </controlPr>
        </control>
      </mc:Choice>
      <mc:Fallback>
        <control shapeId="1109" r:id="rId20" name="btnNoEducation"/>
      </mc:Fallback>
    </mc:AlternateContent>
    <mc:AlternateContent xmlns:mc="http://schemas.openxmlformats.org/markup-compatibility/2006">
      <mc:Choice Requires="x14">
        <control shapeId="1108" r:id="rId22" name="btnYesEducation">
          <controlPr defaultSize="0" autoLine="0" r:id="rId23">
            <anchor>
              <from>
                <xdr:col>2</xdr:col>
                <xdr:colOff>15240</xdr:colOff>
                <xdr:row>36</xdr:row>
                <xdr:rowOff>53340</xdr:rowOff>
              </from>
              <to>
                <xdr:col>3</xdr:col>
                <xdr:colOff>754380</xdr:colOff>
                <xdr:row>37</xdr:row>
                <xdr:rowOff>38100</xdr:rowOff>
              </to>
            </anchor>
          </controlPr>
        </control>
      </mc:Choice>
      <mc:Fallback>
        <control shapeId="1108" r:id="rId22" name="btnYesEducation"/>
      </mc:Fallback>
    </mc:AlternateContent>
    <mc:AlternateContent xmlns:mc="http://schemas.openxmlformats.org/markup-compatibility/2006">
      <mc:Choice Requires="x14">
        <control shapeId="1064" r:id="rId24" name="btnSingle">
          <controlPr defaultSize="0" autoLine="0" r:id="rId25">
            <anchor>
              <from>
                <xdr:col>2</xdr:col>
                <xdr:colOff>15240</xdr:colOff>
                <xdr:row>16</xdr:row>
                <xdr:rowOff>15240</xdr:rowOff>
              </from>
              <to>
                <xdr:col>3</xdr:col>
                <xdr:colOff>754380</xdr:colOff>
                <xdr:row>17</xdr:row>
                <xdr:rowOff>0</xdr:rowOff>
              </to>
            </anchor>
          </controlPr>
        </control>
      </mc:Choice>
      <mc:Fallback>
        <control shapeId="1064" r:id="rId24" name="btnSingle"/>
      </mc:Fallback>
    </mc:AlternateContent>
    <mc:AlternateContent xmlns:mc="http://schemas.openxmlformats.org/markup-compatibility/2006">
      <mc:Choice Requires="x14">
        <control shapeId="1065" r:id="rId26" name="btnDivorced">
          <controlPr defaultSize="0" autoLine="0" r:id="rId27">
            <anchor>
              <from>
                <xdr:col>6</xdr:col>
                <xdr:colOff>15240</xdr:colOff>
                <xdr:row>16</xdr:row>
                <xdr:rowOff>15240</xdr:rowOff>
              </from>
              <to>
                <xdr:col>8</xdr:col>
                <xdr:colOff>0</xdr:colOff>
                <xdr:row>16</xdr:row>
                <xdr:rowOff>205740</xdr:rowOff>
              </to>
            </anchor>
          </controlPr>
        </control>
      </mc:Choice>
      <mc:Fallback>
        <control shapeId="1065" r:id="rId26" name="btnDivorced"/>
      </mc:Fallback>
    </mc:AlternateContent>
    <mc:AlternateContent xmlns:mc="http://schemas.openxmlformats.org/markup-compatibility/2006">
      <mc:Choice Requires="x14">
        <control shapeId="1067" r:id="rId28" name="btnMarried">
          <controlPr defaultSize="0" autoLine="0" r:id="rId29">
            <anchor>
              <from>
                <xdr:col>4</xdr:col>
                <xdr:colOff>15240</xdr:colOff>
                <xdr:row>16</xdr:row>
                <xdr:rowOff>15240</xdr:rowOff>
              </from>
              <to>
                <xdr:col>5</xdr:col>
                <xdr:colOff>601980</xdr:colOff>
                <xdr:row>17</xdr:row>
                <xdr:rowOff>0</xdr:rowOff>
              </to>
            </anchor>
          </controlPr>
        </control>
      </mc:Choice>
      <mc:Fallback>
        <control shapeId="1067" r:id="rId28" name="btnMarried"/>
      </mc:Fallback>
    </mc:AlternateContent>
    <mc:AlternateContent xmlns:mc="http://schemas.openxmlformats.org/markup-compatibility/2006">
      <mc:Choice Requires="x14">
        <control shapeId="1099" r:id="rId30" name="chkboxSelfDisabled">
          <controlPr defaultSize="0" autoLine="0" autoPict="0" r:id="rId31">
            <anchor moveWithCells="1">
              <from>
                <xdr:col>2</xdr:col>
                <xdr:colOff>7620</xdr:colOff>
                <xdr:row>23</xdr:row>
                <xdr:rowOff>7620</xdr:rowOff>
              </from>
              <to>
                <xdr:col>3</xdr:col>
                <xdr:colOff>754380</xdr:colOff>
                <xdr:row>24</xdr:row>
                <xdr:rowOff>38100</xdr:rowOff>
              </to>
            </anchor>
          </controlPr>
        </control>
      </mc:Choice>
      <mc:Fallback>
        <control shapeId="1099" r:id="rId30" name="chkboxSelfDisabled"/>
      </mc:Fallback>
    </mc:AlternateContent>
    <mc:AlternateContent xmlns:mc="http://schemas.openxmlformats.org/markup-compatibility/2006">
      <mc:Choice Requires="x14">
        <control shapeId="1100" r:id="rId32" name="chkboxSpouseDisabled">
          <controlPr defaultSize="0" disabled="1" autoLine="0" autoPict="0" r:id="rId33">
            <anchor moveWithCells="1">
              <from>
                <xdr:col>4</xdr:col>
                <xdr:colOff>15240</xdr:colOff>
                <xdr:row>23</xdr:row>
                <xdr:rowOff>15240</xdr:rowOff>
              </from>
              <to>
                <xdr:col>6</xdr:col>
                <xdr:colOff>601980</xdr:colOff>
                <xdr:row>24</xdr:row>
                <xdr:rowOff>30480</xdr:rowOff>
              </to>
            </anchor>
          </controlPr>
        </control>
      </mc:Choice>
      <mc:Fallback>
        <control shapeId="1100" r:id="rId32" name="chkboxSpouseDisabled"/>
      </mc:Fallback>
    </mc:AlternateContent>
    <mc:AlternateContent xmlns:mc="http://schemas.openxmlformats.org/markup-compatibility/2006">
      <mc:Choice Requires="x14">
        <control shapeId="1102" r:id="rId34" name="btnNoProvide">
          <controlPr defaultSize="0" autoLine="0" r:id="rId35">
            <anchor>
              <from>
                <xdr:col>2</xdr:col>
                <xdr:colOff>22860</xdr:colOff>
                <xdr:row>30</xdr:row>
                <xdr:rowOff>53340</xdr:rowOff>
              </from>
              <to>
                <xdr:col>4</xdr:col>
                <xdr:colOff>0</xdr:colOff>
                <xdr:row>31</xdr:row>
                <xdr:rowOff>15240</xdr:rowOff>
              </to>
            </anchor>
          </controlPr>
        </control>
      </mc:Choice>
      <mc:Fallback>
        <control shapeId="1102" r:id="rId34" name="btnNoProvide"/>
      </mc:Fallback>
    </mc:AlternateContent>
    <mc:AlternateContent xmlns:mc="http://schemas.openxmlformats.org/markup-compatibility/2006">
      <mc:Choice Requires="x14">
        <control shapeId="1105" r:id="rId36" name="btn1Provide">
          <controlPr defaultSize="0" autoLine="0" autoPict="0" r:id="rId37">
            <anchor>
              <from>
                <xdr:col>4</xdr:col>
                <xdr:colOff>15240</xdr:colOff>
                <xdr:row>30</xdr:row>
                <xdr:rowOff>60960</xdr:rowOff>
              </from>
              <to>
                <xdr:col>5</xdr:col>
                <xdr:colOff>601980</xdr:colOff>
                <xdr:row>31</xdr:row>
                <xdr:rowOff>45720</xdr:rowOff>
              </to>
            </anchor>
          </controlPr>
        </control>
      </mc:Choice>
      <mc:Fallback>
        <control shapeId="1105" r:id="rId36" name="btn1Provide"/>
      </mc:Fallback>
    </mc:AlternateContent>
    <mc:AlternateContent xmlns:mc="http://schemas.openxmlformats.org/markup-compatibility/2006">
      <mc:Choice Requires="x14">
        <control shapeId="1107" r:id="rId38" name="btn2Provide">
          <controlPr defaultSize="0" autoLine="0" r:id="rId39">
            <anchor>
              <from>
                <xdr:col>7</xdr:col>
                <xdr:colOff>30480</xdr:colOff>
                <xdr:row>30</xdr:row>
                <xdr:rowOff>60960</xdr:rowOff>
              </from>
              <to>
                <xdr:col>9</xdr:col>
                <xdr:colOff>617220</xdr:colOff>
                <xdr:row>31</xdr:row>
                <xdr:rowOff>30480</xdr:rowOff>
              </to>
            </anchor>
          </controlPr>
        </control>
      </mc:Choice>
      <mc:Fallback>
        <control shapeId="1107" r:id="rId38" name="btn2Provide"/>
      </mc:Fallback>
    </mc:AlternateContent>
    <mc:AlternateContent xmlns:mc="http://schemas.openxmlformats.org/markup-compatibility/2006">
      <mc:Choice Requires="x14">
        <control shapeId="1118" r:id="rId40" name="ResetButton">
          <controlPr defaultSize="0" autoLine="0" autoPict="0" r:id="rId41">
            <anchor moveWithCells="1">
              <from>
                <xdr:col>15</xdr:col>
                <xdr:colOff>594360</xdr:colOff>
                <xdr:row>66</xdr:row>
                <xdr:rowOff>190500</xdr:rowOff>
              </from>
              <to>
                <xdr:col>17</xdr:col>
                <xdr:colOff>594360</xdr:colOff>
                <xdr:row>68</xdr:row>
                <xdr:rowOff>152400</xdr:rowOff>
              </to>
            </anchor>
          </controlPr>
        </control>
      </mc:Choice>
      <mc:Fallback>
        <control shapeId="1118" r:id="rId40" name="Rese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C8B8C-82EF-4E95-8C04-405B48FC6D3D}">
  <sheetPr codeName="Sheet3"/>
  <dimension ref="A1:LL128"/>
  <sheetViews>
    <sheetView tabSelected="1" workbookViewId="0">
      <selection activeCell="P121" sqref="P121"/>
    </sheetView>
  </sheetViews>
  <sheetFormatPr defaultRowHeight="13.8" x14ac:dyDescent="0.25"/>
  <cols>
    <col min="1" max="1" width="8.88671875" style="46"/>
    <col min="2" max="2" width="2.5546875" style="46" customWidth="1"/>
    <col min="3" max="3" width="8.88671875" style="46"/>
    <col min="4" max="5" width="11.109375" style="46" customWidth="1"/>
    <col min="6" max="9" width="8.88671875" style="46"/>
    <col min="10" max="11" width="11.109375" style="46" customWidth="1"/>
    <col min="12" max="12" width="8.88671875" style="46"/>
    <col min="13" max="13" width="8.88671875" style="46" customWidth="1"/>
    <col min="14" max="14" width="8.88671875" style="46"/>
    <col min="15" max="15" width="2.5546875" style="46" customWidth="1"/>
    <col min="16" max="16384" width="8.88671875" style="46"/>
  </cols>
  <sheetData>
    <row r="1" spans="1:324" s="39" customFormat="1" ht="14.4" thickBot="1" x14ac:dyDescent="0.3">
      <c r="B1" s="40"/>
      <c r="M1" s="41"/>
    </row>
    <row r="2" spans="1:324" s="39" customFormat="1" x14ac:dyDescent="0.25">
      <c r="A2" s="42"/>
      <c r="B2" s="41"/>
      <c r="C2" s="66"/>
      <c r="D2" s="66"/>
      <c r="E2" s="66"/>
      <c r="F2" s="66"/>
      <c r="G2" s="66"/>
      <c r="H2" s="66"/>
      <c r="I2" s="66"/>
      <c r="J2" s="66"/>
      <c r="K2" s="66"/>
      <c r="L2" s="66"/>
      <c r="M2" s="66"/>
      <c r="N2" s="66"/>
      <c r="O2" s="43"/>
    </row>
    <row r="3" spans="1:324" s="39" customFormat="1" ht="15.6" x14ac:dyDescent="0.3">
      <c r="B3" s="67"/>
      <c r="C3" s="44" t="s">
        <v>227</v>
      </c>
      <c r="O3" s="42"/>
    </row>
    <row r="4" spans="1:324" s="39" customFormat="1" x14ac:dyDescent="0.25">
      <c r="B4" s="67"/>
      <c r="O4" s="42"/>
      <c r="LL4" s="39">
        <v>0</v>
      </c>
    </row>
    <row r="5" spans="1:324" s="39" customFormat="1" x14ac:dyDescent="0.25">
      <c r="B5" s="67"/>
      <c r="C5" s="45" t="s">
        <v>231</v>
      </c>
      <c r="O5" s="42"/>
    </row>
    <row r="6" spans="1:324" x14ac:dyDescent="0.25">
      <c r="B6" s="68"/>
      <c r="C6" s="47"/>
      <c r="D6" s="48"/>
      <c r="E6" s="48"/>
      <c r="F6" s="48"/>
      <c r="G6" s="48"/>
      <c r="H6" s="48"/>
      <c r="I6" s="48"/>
      <c r="J6" s="48"/>
      <c r="K6" s="48"/>
      <c r="L6" s="48"/>
      <c r="M6" s="48"/>
      <c r="N6" s="49"/>
      <c r="O6" s="59"/>
    </row>
    <row r="7" spans="1:324" x14ac:dyDescent="0.25">
      <c r="B7" s="68"/>
      <c r="C7" s="50" t="s">
        <v>226</v>
      </c>
      <c r="D7" s="51" t="s">
        <v>287</v>
      </c>
      <c r="E7" s="51"/>
      <c r="F7" s="51"/>
      <c r="G7" s="52"/>
      <c r="H7" s="52"/>
      <c r="I7" s="52" t="s">
        <v>229</v>
      </c>
      <c r="J7" s="52"/>
      <c r="K7" s="51" t="s">
        <v>288</v>
      </c>
      <c r="L7" s="51"/>
      <c r="M7" s="51"/>
      <c r="N7" s="53"/>
      <c r="O7" s="59"/>
    </row>
    <row r="8" spans="1:324" ht="3" customHeight="1" x14ac:dyDescent="0.25">
      <c r="B8" s="68"/>
      <c r="C8" s="50"/>
      <c r="D8" s="52"/>
      <c r="E8" s="52"/>
      <c r="F8" s="52"/>
      <c r="G8" s="52"/>
      <c r="H8" s="52"/>
      <c r="I8" s="52"/>
      <c r="J8" s="52"/>
      <c r="K8" s="52"/>
      <c r="L8" s="52"/>
      <c r="M8" s="52"/>
      <c r="N8" s="53"/>
      <c r="O8" s="59"/>
    </row>
    <row r="9" spans="1:324" x14ac:dyDescent="0.25">
      <c r="B9" s="68"/>
      <c r="C9" s="54" t="s">
        <v>228</v>
      </c>
      <c r="D9" s="105">
        <v>22</v>
      </c>
      <c r="E9" s="51"/>
      <c r="F9" s="51"/>
      <c r="G9" s="52"/>
      <c r="H9" s="52"/>
      <c r="I9" s="52" t="s">
        <v>230</v>
      </c>
      <c r="J9" s="52"/>
      <c r="K9" s="51"/>
      <c r="L9" s="51"/>
      <c r="M9" s="51"/>
      <c r="N9" s="53"/>
      <c r="O9" s="59"/>
    </row>
    <row r="10" spans="1:324" x14ac:dyDescent="0.25">
      <c r="B10" s="68"/>
      <c r="C10" s="55"/>
      <c r="D10" s="56"/>
      <c r="E10" s="56"/>
      <c r="F10" s="56"/>
      <c r="G10" s="56"/>
      <c r="H10" s="56"/>
      <c r="I10" s="56"/>
      <c r="J10" s="56"/>
      <c r="K10" s="56"/>
      <c r="L10" s="56"/>
      <c r="M10" s="56"/>
      <c r="N10" s="57"/>
      <c r="O10" s="59"/>
    </row>
    <row r="11" spans="1:324" x14ac:dyDescent="0.25">
      <c r="B11" s="68"/>
      <c r="O11" s="59"/>
    </row>
    <row r="12" spans="1:324" x14ac:dyDescent="0.25">
      <c r="B12" s="68"/>
      <c r="C12" s="45" t="s">
        <v>232</v>
      </c>
      <c r="O12" s="59"/>
    </row>
    <row r="13" spans="1:324" x14ac:dyDescent="0.25">
      <c r="B13" s="68"/>
      <c r="C13" s="47"/>
      <c r="D13" s="48"/>
      <c r="E13" s="48"/>
      <c r="F13" s="48"/>
      <c r="G13" s="48"/>
      <c r="H13" s="48"/>
      <c r="I13" s="48"/>
      <c r="J13" s="48"/>
      <c r="K13" s="48"/>
      <c r="L13" s="48"/>
      <c r="M13" s="48"/>
      <c r="N13" s="49"/>
      <c r="O13" s="59"/>
    </row>
    <row r="14" spans="1:324" x14ac:dyDescent="0.25">
      <c r="B14" s="68"/>
      <c r="C14" s="54" t="s">
        <v>241</v>
      </c>
      <c r="D14" s="52"/>
      <c r="E14" s="52"/>
      <c r="F14" s="52"/>
      <c r="G14" s="52"/>
      <c r="H14" s="52"/>
      <c r="I14" s="52"/>
      <c r="K14" s="52" t="s">
        <v>233</v>
      </c>
      <c r="L14" s="51">
        <v>50000</v>
      </c>
      <c r="M14" s="58">
        <v>0</v>
      </c>
      <c r="N14" s="53"/>
      <c r="O14" s="59"/>
    </row>
    <row r="15" spans="1:324" x14ac:dyDescent="0.25">
      <c r="B15" s="68"/>
      <c r="C15" s="54"/>
      <c r="D15" s="52"/>
      <c r="E15" s="52"/>
      <c r="F15" s="52"/>
      <c r="G15" s="52"/>
      <c r="H15" s="52"/>
      <c r="I15" s="52"/>
      <c r="J15" s="52"/>
      <c r="K15" s="52"/>
      <c r="L15" s="52"/>
      <c r="M15" s="52"/>
      <c r="N15" s="53"/>
      <c r="O15" s="59"/>
    </row>
    <row r="16" spans="1:324" x14ac:dyDescent="0.25">
      <c r="B16" s="68"/>
      <c r="C16" s="54" t="s">
        <v>234</v>
      </c>
      <c r="D16" s="52"/>
      <c r="E16" s="52"/>
      <c r="F16" s="52"/>
      <c r="G16" s="52"/>
      <c r="H16" s="52"/>
      <c r="I16" s="52"/>
      <c r="J16" s="52"/>
      <c r="K16" s="52"/>
      <c r="L16" s="52"/>
      <c r="M16" s="52"/>
      <c r="N16" s="53"/>
      <c r="O16" s="59"/>
    </row>
    <row r="17" spans="2:15" ht="16.8" customHeight="1" x14ac:dyDescent="0.25">
      <c r="B17" s="68"/>
      <c r="C17" s="54"/>
      <c r="D17" s="52"/>
      <c r="E17" s="52"/>
      <c r="F17" s="52"/>
      <c r="G17" s="52"/>
      <c r="H17" s="52"/>
      <c r="I17" s="52"/>
      <c r="J17" s="52"/>
      <c r="K17" s="52"/>
      <c r="L17" s="52"/>
      <c r="M17" s="52"/>
      <c r="N17" s="53"/>
      <c r="O17" s="59"/>
    </row>
    <row r="18" spans="2:15" x14ac:dyDescent="0.25">
      <c r="B18" s="68"/>
      <c r="C18" s="54"/>
      <c r="D18" s="52"/>
      <c r="E18" s="52"/>
      <c r="F18" s="52"/>
      <c r="G18" s="52"/>
      <c r="H18" s="52"/>
      <c r="I18" s="52"/>
      <c r="J18" s="52"/>
      <c r="K18" s="52"/>
      <c r="L18" s="52"/>
      <c r="M18" s="52"/>
      <c r="N18" s="53"/>
      <c r="O18" s="59"/>
    </row>
    <row r="19" spans="2:15" x14ac:dyDescent="0.25">
      <c r="B19" s="68"/>
      <c r="C19" s="54" t="s">
        <v>235</v>
      </c>
      <c r="D19" s="52"/>
      <c r="E19" s="52"/>
      <c r="F19" s="52"/>
      <c r="G19" s="52"/>
      <c r="H19" s="52"/>
      <c r="I19" s="52"/>
      <c r="J19" s="52"/>
      <c r="K19" s="52"/>
      <c r="L19" s="51">
        <v>0</v>
      </c>
      <c r="M19" s="52"/>
      <c r="N19" s="53"/>
      <c r="O19" s="59"/>
    </row>
    <row r="20" spans="2:15" ht="16.8" customHeight="1" x14ac:dyDescent="0.25">
      <c r="B20" s="68"/>
      <c r="C20" s="54"/>
      <c r="M20" s="52"/>
      <c r="N20" s="53"/>
      <c r="O20" s="59"/>
    </row>
    <row r="21" spans="2:15" x14ac:dyDescent="0.25">
      <c r="B21" s="68"/>
      <c r="C21" s="54" t="s">
        <v>236</v>
      </c>
      <c r="D21" s="52"/>
      <c r="E21" s="52"/>
      <c r="F21" s="52"/>
      <c r="G21" s="52"/>
      <c r="H21" s="52"/>
      <c r="I21" s="52"/>
      <c r="J21" s="52"/>
      <c r="K21" s="52"/>
      <c r="L21" s="51">
        <v>0</v>
      </c>
      <c r="M21" s="52"/>
      <c r="N21" s="53"/>
      <c r="O21" s="59"/>
    </row>
    <row r="22" spans="2:15" x14ac:dyDescent="0.25">
      <c r="B22" s="68"/>
      <c r="C22" s="54"/>
      <c r="D22" s="52"/>
      <c r="E22" s="52"/>
      <c r="F22" s="52"/>
      <c r="G22" s="52"/>
      <c r="H22" s="52"/>
      <c r="I22" s="52"/>
      <c r="J22" s="52"/>
      <c r="K22" s="52"/>
      <c r="L22" s="52"/>
      <c r="M22" s="52"/>
      <c r="N22" s="53"/>
      <c r="O22" s="59"/>
    </row>
    <row r="23" spans="2:15" ht="16.8" customHeight="1" x14ac:dyDescent="0.25">
      <c r="B23" s="68"/>
      <c r="C23" s="54" t="s">
        <v>237</v>
      </c>
      <c r="D23" s="52"/>
      <c r="E23" s="52"/>
      <c r="F23" s="52"/>
      <c r="G23" s="52"/>
      <c r="H23" s="52"/>
      <c r="I23" s="52"/>
      <c r="J23" s="52"/>
      <c r="K23" s="52"/>
      <c r="L23" s="52"/>
      <c r="M23" s="52"/>
      <c r="N23" s="53"/>
      <c r="O23" s="59"/>
    </row>
    <row r="24" spans="2:15" x14ac:dyDescent="0.25">
      <c r="B24" s="68"/>
      <c r="C24" s="54"/>
      <c r="D24" s="52"/>
      <c r="E24" s="52"/>
      <c r="F24" s="52"/>
      <c r="G24" s="52"/>
      <c r="H24" s="52"/>
      <c r="I24" s="52"/>
      <c r="J24" s="52"/>
      <c r="K24" s="52"/>
      <c r="L24" s="52"/>
      <c r="M24" s="52"/>
      <c r="N24" s="53"/>
      <c r="O24" s="59"/>
    </row>
    <row r="25" spans="2:15" x14ac:dyDescent="0.25">
      <c r="B25" s="68"/>
      <c r="C25" s="54"/>
      <c r="M25" s="52"/>
      <c r="N25" s="53"/>
      <c r="O25" s="59"/>
    </row>
    <row r="26" spans="2:15" ht="16.8" customHeight="1" x14ac:dyDescent="0.25">
      <c r="B26" s="68"/>
      <c r="C26" s="54" t="s">
        <v>263</v>
      </c>
      <c r="D26" s="52"/>
      <c r="E26" s="52"/>
      <c r="F26" s="52"/>
      <c r="G26" s="52"/>
      <c r="H26" s="52"/>
      <c r="I26" s="52"/>
      <c r="J26" s="52"/>
      <c r="K26" s="52"/>
      <c r="L26" s="51">
        <v>0</v>
      </c>
      <c r="M26" s="52"/>
      <c r="N26" s="53"/>
      <c r="O26" s="59"/>
    </row>
    <row r="27" spans="2:15" x14ac:dyDescent="0.25">
      <c r="B27" s="68"/>
      <c r="C27" s="54"/>
      <c r="M27" s="52"/>
      <c r="N27" s="53"/>
      <c r="O27" s="59"/>
    </row>
    <row r="28" spans="2:15" ht="13.8" customHeight="1" x14ac:dyDescent="0.25">
      <c r="B28" s="68"/>
      <c r="C28" s="54" t="s">
        <v>264</v>
      </c>
      <c r="D28" s="52"/>
      <c r="E28" s="52"/>
      <c r="F28" s="52"/>
      <c r="G28" s="52"/>
      <c r="H28" s="52"/>
      <c r="I28" s="52"/>
      <c r="J28" s="52"/>
      <c r="K28" s="52"/>
      <c r="L28" s="51">
        <v>0</v>
      </c>
      <c r="M28" s="52"/>
      <c r="N28" s="53"/>
      <c r="O28" s="59"/>
    </row>
    <row r="29" spans="2:15" x14ac:dyDescent="0.25">
      <c r="B29" s="68"/>
      <c r="C29" s="54"/>
      <c r="D29" s="52"/>
      <c r="E29" s="52"/>
      <c r="F29" s="52"/>
      <c r="G29" s="52"/>
      <c r="H29" s="52"/>
      <c r="I29" s="52"/>
      <c r="J29" s="52"/>
      <c r="K29" s="52"/>
      <c r="L29" s="52"/>
      <c r="M29" s="52"/>
      <c r="N29" s="53"/>
      <c r="O29" s="59"/>
    </row>
    <row r="30" spans="2:15" x14ac:dyDescent="0.25">
      <c r="B30" s="68"/>
      <c r="C30" s="54" t="s">
        <v>238</v>
      </c>
      <c r="D30" s="52"/>
      <c r="E30" s="52"/>
      <c r="F30" s="52"/>
      <c r="G30" s="52"/>
      <c r="H30" s="52"/>
      <c r="I30" s="52"/>
      <c r="J30" s="52"/>
      <c r="K30" s="52"/>
      <c r="L30" s="52"/>
      <c r="M30" s="52"/>
      <c r="N30" s="53"/>
      <c r="O30" s="59"/>
    </row>
    <row r="31" spans="2:15" ht="16.8" customHeight="1" x14ac:dyDescent="0.25">
      <c r="B31" s="68"/>
      <c r="C31" s="54"/>
      <c r="D31" s="52"/>
      <c r="E31" s="52"/>
      <c r="F31" s="52"/>
      <c r="G31" s="52"/>
      <c r="H31" s="52"/>
      <c r="I31" s="52"/>
      <c r="J31" s="52"/>
      <c r="K31" s="52"/>
      <c r="L31" s="52"/>
      <c r="M31" s="52"/>
      <c r="N31" s="53"/>
      <c r="O31" s="59"/>
    </row>
    <row r="32" spans="2:15" x14ac:dyDescent="0.25">
      <c r="B32" s="68"/>
      <c r="C32" s="55"/>
      <c r="D32" s="56"/>
      <c r="E32" s="56"/>
      <c r="F32" s="56"/>
      <c r="G32" s="56"/>
      <c r="H32" s="56"/>
      <c r="I32" s="56"/>
      <c r="J32" s="56"/>
      <c r="K32" s="56"/>
      <c r="L32" s="56"/>
      <c r="M32" s="56"/>
      <c r="N32" s="57"/>
      <c r="O32" s="59"/>
    </row>
    <row r="33" spans="2:15" x14ac:dyDescent="0.25">
      <c r="B33" s="68"/>
      <c r="O33" s="59"/>
    </row>
    <row r="34" spans="2:15" x14ac:dyDescent="0.25">
      <c r="B34" s="68"/>
      <c r="C34" s="45" t="s">
        <v>240</v>
      </c>
      <c r="O34" s="59"/>
    </row>
    <row r="35" spans="2:15" x14ac:dyDescent="0.25">
      <c r="B35" s="68"/>
      <c r="C35" s="47"/>
      <c r="D35" s="48"/>
      <c r="E35" s="48"/>
      <c r="F35" s="48"/>
      <c r="G35" s="48"/>
      <c r="H35" s="48"/>
      <c r="I35" s="48"/>
      <c r="J35" s="48"/>
      <c r="K35" s="48"/>
      <c r="L35" s="48"/>
      <c r="M35" s="48"/>
      <c r="N35" s="49"/>
      <c r="O35" s="59"/>
    </row>
    <row r="36" spans="2:15" x14ac:dyDescent="0.25">
      <c r="B36" s="68"/>
      <c r="C36" s="54" t="s">
        <v>239</v>
      </c>
      <c r="D36" s="52"/>
      <c r="E36" s="52"/>
      <c r="F36" s="63" t="s">
        <v>254</v>
      </c>
      <c r="G36" s="52"/>
      <c r="H36" s="52"/>
      <c r="I36" s="52"/>
      <c r="J36" s="52"/>
      <c r="K36" s="52"/>
      <c r="L36" s="52"/>
      <c r="M36" s="52"/>
      <c r="N36" s="53"/>
      <c r="O36" s="59"/>
    </row>
    <row r="37" spans="2:15" ht="16.8" customHeight="1" x14ac:dyDescent="0.25">
      <c r="B37" s="68"/>
      <c r="C37" s="54"/>
      <c r="D37" s="52"/>
      <c r="E37" s="52"/>
      <c r="F37" s="52"/>
      <c r="G37" s="52"/>
      <c r="H37" s="52"/>
      <c r="I37" s="52"/>
      <c r="J37" s="52"/>
      <c r="K37" s="52"/>
      <c r="L37" s="52"/>
      <c r="M37" s="52"/>
      <c r="N37" s="53"/>
      <c r="O37" s="59"/>
    </row>
    <row r="38" spans="2:15" x14ac:dyDescent="0.25">
      <c r="B38" s="68"/>
      <c r="C38" s="54"/>
      <c r="D38" s="52"/>
      <c r="E38" s="52"/>
      <c r="F38" s="52"/>
      <c r="G38" s="52"/>
      <c r="H38" s="52"/>
      <c r="I38" s="52"/>
      <c r="J38" s="52"/>
      <c r="K38" s="52"/>
      <c r="L38" s="52"/>
      <c r="M38" s="52"/>
      <c r="N38" s="53"/>
      <c r="O38" s="59"/>
    </row>
    <row r="39" spans="2:15" x14ac:dyDescent="0.25">
      <c r="B39" s="68"/>
      <c r="C39" s="54" t="s">
        <v>242</v>
      </c>
      <c r="D39" s="52"/>
      <c r="E39" s="52"/>
      <c r="F39" s="52"/>
      <c r="G39" s="52"/>
      <c r="H39" s="52"/>
      <c r="I39" s="52"/>
      <c r="J39" s="52"/>
      <c r="K39" s="52" t="s">
        <v>233</v>
      </c>
      <c r="L39" s="65">
        <v>0</v>
      </c>
      <c r="M39" s="58">
        <v>0</v>
      </c>
      <c r="N39" s="53"/>
      <c r="O39" s="59"/>
    </row>
    <row r="40" spans="2:15" x14ac:dyDescent="0.25">
      <c r="B40" s="68"/>
      <c r="C40" s="54"/>
      <c r="D40" s="52"/>
      <c r="E40" s="52"/>
      <c r="F40" s="52"/>
      <c r="G40" s="52"/>
      <c r="H40" s="52"/>
      <c r="I40" s="52"/>
      <c r="J40" s="52"/>
      <c r="K40" s="52"/>
      <c r="L40" s="52"/>
      <c r="M40" s="52"/>
      <c r="N40" s="53"/>
      <c r="O40" s="59"/>
    </row>
    <row r="41" spans="2:15" x14ac:dyDescent="0.25">
      <c r="B41" s="68"/>
      <c r="C41" s="54" t="s">
        <v>261</v>
      </c>
      <c r="D41" s="52"/>
      <c r="E41" s="52"/>
      <c r="F41" s="52"/>
      <c r="G41" s="52"/>
      <c r="H41" s="52"/>
      <c r="I41" s="52"/>
      <c r="J41" s="52"/>
      <c r="K41" s="52" t="s">
        <v>233</v>
      </c>
      <c r="L41" s="65">
        <v>0</v>
      </c>
      <c r="M41" s="58">
        <v>0</v>
      </c>
      <c r="N41" s="53"/>
      <c r="O41" s="59"/>
    </row>
    <row r="42" spans="2:15" x14ac:dyDescent="0.25">
      <c r="B42" s="68"/>
      <c r="C42" s="55"/>
      <c r="D42" s="56"/>
      <c r="E42" s="56"/>
      <c r="F42" s="56"/>
      <c r="G42" s="56"/>
      <c r="H42" s="56"/>
      <c r="I42" s="56"/>
      <c r="J42" s="56"/>
      <c r="K42" s="56"/>
      <c r="L42" s="56"/>
      <c r="M42" s="56"/>
      <c r="N42" s="57"/>
      <c r="O42" s="59"/>
    </row>
    <row r="43" spans="2:15" x14ac:dyDescent="0.25">
      <c r="B43" s="68"/>
      <c r="O43" s="59"/>
    </row>
    <row r="44" spans="2:15" x14ac:dyDescent="0.25">
      <c r="B44" s="68"/>
      <c r="C44" s="45" t="s">
        <v>246</v>
      </c>
      <c r="O44" s="59"/>
    </row>
    <row r="45" spans="2:15" x14ac:dyDescent="0.25">
      <c r="B45" s="68"/>
      <c r="C45" s="47"/>
      <c r="D45" s="48"/>
      <c r="E45" s="48"/>
      <c r="F45" s="48"/>
      <c r="G45" s="48"/>
      <c r="H45" s="48"/>
      <c r="I45" s="48"/>
      <c r="J45" s="48"/>
      <c r="K45" s="48"/>
      <c r="L45" s="48"/>
      <c r="M45" s="48"/>
      <c r="N45" s="49"/>
      <c r="O45" s="59"/>
    </row>
    <row r="46" spans="2:15" x14ac:dyDescent="0.25">
      <c r="B46" s="68"/>
      <c r="C46" s="54" t="s">
        <v>243</v>
      </c>
      <c r="D46" s="52"/>
      <c r="E46" s="52"/>
      <c r="F46" s="52"/>
      <c r="G46" s="52"/>
      <c r="H46" s="52"/>
      <c r="I46" s="52"/>
      <c r="J46" s="52"/>
      <c r="K46" s="52" t="s">
        <v>233</v>
      </c>
      <c r="L46" s="51">
        <v>0</v>
      </c>
      <c r="M46" s="58">
        <v>0</v>
      </c>
      <c r="N46" s="53"/>
      <c r="O46" s="59"/>
    </row>
    <row r="47" spans="2:15" x14ac:dyDescent="0.25">
      <c r="B47" s="68"/>
      <c r="C47" s="54"/>
      <c r="D47" s="52"/>
      <c r="E47" s="52"/>
      <c r="F47" s="52"/>
      <c r="G47" s="52"/>
      <c r="H47" s="52"/>
      <c r="I47" s="52"/>
      <c r="J47" s="52"/>
      <c r="K47" s="52"/>
      <c r="L47" s="52"/>
      <c r="M47" s="52"/>
      <c r="N47" s="53"/>
      <c r="O47" s="59"/>
    </row>
    <row r="48" spans="2:15" x14ac:dyDescent="0.25">
      <c r="B48" s="68"/>
      <c r="C48" s="54" t="s">
        <v>244</v>
      </c>
      <c r="D48" s="52"/>
      <c r="E48" s="52"/>
      <c r="F48" s="52"/>
      <c r="G48" s="52"/>
      <c r="H48" s="52"/>
      <c r="I48" s="52"/>
      <c r="J48" s="52"/>
      <c r="K48" s="52" t="s">
        <v>233</v>
      </c>
      <c r="L48" s="51">
        <v>0</v>
      </c>
      <c r="M48" s="58">
        <v>0</v>
      </c>
      <c r="N48" s="53"/>
      <c r="O48" s="59"/>
    </row>
    <row r="49" spans="2:15" x14ac:dyDescent="0.25">
      <c r="B49" s="68"/>
      <c r="C49" s="54"/>
      <c r="D49" s="52"/>
      <c r="E49" s="52"/>
      <c r="F49" s="52"/>
      <c r="G49" s="52"/>
      <c r="H49" s="52"/>
      <c r="I49" s="52"/>
      <c r="J49" s="52"/>
      <c r="K49" s="52"/>
      <c r="L49" s="52"/>
      <c r="M49" s="52"/>
      <c r="N49" s="53"/>
      <c r="O49" s="59"/>
    </row>
    <row r="50" spans="2:15" x14ac:dyDescent="0.25">
      <c r="B50" s="68"/>
      <c r="C50" s="54" t="s">
        <v>245</v>
      </c>
      <c r="D50" s="52"/>
      <c r="E50" s="52"/>
      <c r="F50" s="52"/>
      <c r="G50" s="52"/>
      <c r="H50" s="52"/>
      <c r="I50" s="52"/>
      <c r="J50" s="52"/>
      <c r="K50" s="52" t="s">
        <v>233</v>
      </c>
      <c r="L50" s="51">
        <v>0</v>
      </c>
      <c r="M50" s="58">
        <v>0</v>
      </c>
      <c r="N50" s="53"/>
      <c r="O50" s="59"/>
    </row>
    <row r="51" spans="2:15" x14ac:dyDescent="0.25">
      <c r="B51" s="68"/>
      <c r="C51" s="55"/>
      <c r="D51" s="56"/>
      <c r="E51" s="56"/>
      <c r="F51" s="56"/>
      <c r="G51" s="56"/>
      <c r="H51" s="56"/>
      <c r="I51" s="56"/>
      <c r="J51" s="56"/>
      <c r="K51" s="56"/>
      <c r="L51" s="56"/>
      <c r="M51" s="56"/>
      <c r="N51" s="57"/>
      <c r="O51" s="59"/>
    </row>
    <row r="52" spans="2:15" x14ac:dyDescent="0.25">
      <c r="B52" s="68"/>
      <c r="O52" s="59"/>
    </row>
    <row r="53" spans="2:15" x14ac:dyDescent="0.25">
      <c r="B53" s="68"/>
      <c r="C53" s="45" t="s">
        <v>247</v>
      </c>
      <c r="O53" s="59"/>
    </row>
    <row r="54" spans="2:15" x14ac:dyDescent="0.25">
      <c r="B54" s="68"/>
      <c r="C54" s="47"/>
      <c r="D54" s="48"/>
      <c r="E54" s="48"/>
      <c r="F54" s="48"/>
      <c r="G54" s="48"/>
      <c r="H54" s="48"/>
      <c r="I54" s="48"/>
      <c r="J54" s="48"/>
      <c r="K54" s="48"/>
      <c r="L54" s="48"/>
      <c r="M54" s="48"/>
      <c r="N54" s="49"/>
      <c r="O54" s="59"/>
    </row>
    <row r="55" spans="2:15" x14ac:dyDescent="0.25">
      <c r="B55" s="68"/>
      <c r="C55" s="54" t="s">
        <v>289</v>
      </c>
      <c r="D55" s="52"/>
      <c r="E55" s="52"/>
      <c r="F55" s="52"/>
      <c r="G55" s="52"/>
      <c r="H55" s="52"/>
      <c r="I55" s="52"/>
      <c r="J55" s="52"/>
      <c r="K55" s="52"/>
      <c r="L55" s="52"/>
      <c r="M55" s="52"/>
      <c r="N55" s="53"/>
      <c r="O55" s="59"/>
    </row>
    <row r="56" spans="2:15" ht="16.8" customHeight="1" x14ac:dyDescent="0.25">
      <c r="B56" s="68"/>
      <c r="C56" s="54"/>
      <c r="D56" s="52"/>
      <c r="E56" s="52"/>
      <c r="F56" s="52"/>
      <c r="G56" s="52"/>
      <c r="H56" s="52"/>
      <c r="I56" s="52"/>
      <c r="J56" s="52"/>
      <c r="K56" s="52"/>
      <c r="L56" s="52"/>
      <c r="M56" s="52"/>
      <c r="N56" s="53"/>
      <c r="O56" s="59"/>
    </row>
    <row r="57" spans="2:15" ht="16.8" customHeight="1" x14ac:dyDescent="0.25">
      <c r="B57" s="68"/>
      <c r="C57" s="54"/>
      <c r="D57" s="52"/>
      <c r="E57" s="52"/>
      <c r="F57" s="52"/>
      <c r="G57" s="52"/>
      <c r="H57" s="52"/>
      <c r="I57" s="52"/>
      <c r="J57" s="52"/>
      <c r="K57" s="52"/>
      <c r="L57" s="52"/>
      <c r="M57" s="52"/>
      <c r="N57" s="53"/>
      <c r="O57" s="59"/>
    </row>
    <row r="58" spans="2:15" ht="16.8" customHeight="1" x14ac:dyDescent="0.25">
      <c r="B58" s="68"/>
      <c r="C58" s="54"/>
      <c r="D58" s="52"/>
      <c r="E58" s="52"/>
      <c r="F58" s="52"/>
      <c r="G58" s="52"/>
      <c r="H58" s="52"/>
      <c r="I58" s="52"/>
      <c r="J58" s="52"/>
      <c r="K58" s="52"/>
      <c r="L58" s="52"/>
      <c r="M58" s="52"/>
      <c r="N58" s="53"/>
      <c r="O58" s="59"/>
    </row>
    <row r="59" spans="2:15" x14ac:dyDescent="0.25">
      <c r="B59" s="68"/>
      <c r="C59" s="55"/>
      <c r="D59" s="56"/>
      <c r="E59" s="56"/>
      <c r="F59" s="56"/>
      <c r="G59" s="56"/>
      <c r="H59" s="56"/>
      <c r="I59" s="56"/>
      <c r="J59" s="56"/>
      <c r="K59" s="56"/>
      <c r="L59" s="56"/>
      <c r="M59" s="56"/>
      <c r="N59" s="57"/>
      <c r="O59" s="59"/>
    </row>
    <row r="60" spans="2:15" x14ac:dyDescent="0.25">
      <c r="B60" s="68"/>
      <c r="O60" s="59"/>
    </row>
    <row r="61" spans="2:15" x14ac:dyDescent="0.25">
      <c r="B61" s="68"/>
      <c r="C61" s="45" t="s">
        <v>249</v>
      </c>
      <c r="O61" s="59"/>
    </row>
    <row r="62" spans="2:15" x14ac:dyDescent="0.25">
      <c r="B62" s="68"/>
      <c r="C62" s="47"/>
      <c r="D62" s="48"/>
      <c r="E62" s="48"/>
      <c r="F62" s="48"/>
      <c r="G62" s="48"/>
      <c r="H62" s="48"/>
      <c r="I62" s="48"/>
      <c r="J62" s="48"/>
      <c r="K62" s="48"/>
      <c r="L62" s="48"/>
      <c r="M62" s="48"/>
      <c r="N62" s="49"/>
      <c r="O62" s="59"/>
    </row>
    <row r="63" spans="2:15" x14ac:dyDescent="0.25">
      <c r="B63" s="68"/>
      <c r="C63" s="54" t="s">
        <v>248</v>
      </c>
      <c r="D63" s="52"/>
      <c r="E63" s="52"/>
      <c r="F63" s="52"/>
      <c r="G63" s="52"/>
      <c r="H63" s="52"/>
      <c r="I63" s="52"/>
      <c r="J63" s="52"/>
      <c r="K63" s="52"/>
      <c r="L63" s="52"/>
      <c r="M63" s="52"/>
      <c r="N63" s="53"/>
      <c r="O63" s="59"/>
    </row>
    <row r="64" spans="2:15" ht="16.8" customHeight="1" x14ac:dyDescent="0.25">
      <c r="B64" s="68"/>
      <c r="C64" s="54"/>
      <c r="D64" s="52"/>
      <c r="E64" s="52"/>
      <c r="F64" s="52"/>
      <c r="G64" s="52"/>
      <c r="H64" s="52"/>
      <c r="I64" s="52"/>
      <c r="J64" s="52"/>
      <c r="K64" s="52"/>
      <c r="L64" s="52"/>
      <c r="M64" s="52"/>
      <c r="N64" s="53"/>
      <c r="O64" s="59"/>
    </row>
    <row r="65" spans="1:15" ht="16.8" customHeight="1" x14ac:dyDescent="0.25">
      <c r="B65" s="68"/>
      <c r="C65" s="54"/>
      <c r="D65" s="52"/>
      <c r="E65" s="52"/>
      <c r="F65" s="63" t="s">
        <v>255</v>
      </c>
      <c r="G65" s="52"/>
      <c r="H65" s="52"/>
      <c r="I65" s="52"/>
      <c r="J65" s="52"/>
      <c r="K65" s="52"/>
      <c r="L65" s="52"/>
      <c r="M65" s="52"/>
      <c r="N65" s="53"/>
      <c r="O65" s="59"/>
    </row>
    <row r="66" spans="1:15" ht="16.8" customHeight="1" x14ac:dyDescent="0.25">
      <c r="B66" s="68"/>
      <c r="C66" s="54"/>
      <c r="D66" s="52"/>
      <c r="E66" s="52"/>
      <c r="F66" s="63" t="s">
        <v>256</v>
      </c>
      <c r="G66" s="52"/>
      <c r="H66" s="52"/>
      <c r="I66" s="52"/>
      <c r="J66" s="52"/>
      <c r="K66" s="52"/>
      <c r="L66" s="52"/>
      <c r="M66" s="52"/>
      <c r="N66" s="53"/>
      <c r="O66" s="59"/>
    </row>
    <row r="67" spans="1:15" ht="16.8" customHeight="1" x14ac:dyDescent="0.25">
      <c r="B67" s="68"/>
      <c r="C67" s="54"/>
      <c r="D67" s="52"/>
      <c r="E67" s="52"/>
      <c r="F67" s="52"/>
      <c r="G67" s="52"/>
      <c r="H67" s="52"/>
      <c r="I67" s="52"/>
      <c r="J67" s="52"/>
      <c r="K67" s="52"/>
      <c r="L67" s="52"/>
      <c r="M67" s="52"/>
      <c r="N67" s="53"/>
      <c r="O67" s="59"/>
    </row>
    <row r="68" spans="1:15" ht="16.8" customHeight="1" x14ac:dyDescent="0.25">
      <c r="B68" s="68"/>
      <c r="C68" s="54"/>
      <c r="D68" s="52"/>
      <c r="E68" s="52"/>
      <c r="F68" s="52"/>
      <c r="G68" s="52"/>
      <c r="H68" s="52"/>
      <c r="I68" s="52"/>
      <c r="J68" s="63" t="s">
        <v>257</v>
      </c>
      <c r="K68" s="52"/>
      <c r="L68" s="52"/>
      <c r="M68" s="52"/>
      <c r="N68" s="53"/>
      <c r="O68" s="59"/>
    </row>
    <row r="69" spans="1:15" x14ac:dyDescent="0.25">
      <c r="B69" s="68"/>
      <c r="C69" s="55"/>
      <c r="D69" s="56"/>
      <c r="E69" s="56"/>
      <c r="F69" s="56"/>
      <c r="G69" s="56"/>
      <c r="H69" s="56"/>
      <c r="I69" s="56"/>
      <c r="J69" s="56"/>
      <c r="K69" s="56"/>
      <c r="L69" s="56"/>
      <c r="M69" s="56"/>
      <c r="N69" s="57"/>
      <c r="O69" s="59"/>
    </row>
    <row r="70" spans="1:15" x14ac:dyDescent="0.25">
      <c r="B70" s="68"/>
      <c r="O70" s="59"/>
    </row>
    <row r="71" spans="1:15" ht="14.4" thickBot="1" x14ac:dyDescent="0.3">
      <c r="A71" s="59"/>
      <c r="B71" s="60"/>
      <c r="C71" s="69"/>
      <c r="D71" s="69"/>
      <c r="E71" s="69"/>
      <c r="F71" s="69"/>
      <c r="G71" s="69"/>
      <c r="H71" s="69"/>
      <c r="I71" s="69"/>
      <c r="J71" s="69"/>
      <c r="K71" s="69"/>
      <c r="L71" s="69"/>
      <c r="M71" s="69"/>
      <c r="N71" s="69"/>
      <c r="O71" s="61"/>
    </row>
    <row r="73" spans="1:15" s="62" customFormat="1" x14ac:dyDescent="0.25"/>
    <row r="75" spans="1:15" x14ac:dyDescent="0.25">
      <c r="B75" s="47"/>
      <c r="C75" s="48"/>
      <c r="D75" s="48"/>
      <c r="E75" s="48"/>
      <c r="F75" s="48"/>
      <c r="G75" s="76" t="s">
        <v>250</v>
      </c>
      <c r="H75" s="48"/>
      <c r="I75" s="48"/>
      <c r="J75" s="48"/>
      <c r="K75" s="48"/>
      <c r="L75" s="48"/>
      <c r="M75" s="49"/>
    </row>
    <row r="76" spans="1:15" x14ac:dyDescent="0.25">
      <c r="B76" s="72"/>
      <c r="C76" s="73" t="s">
        <v>253</v>
      </c>
      <c r="D76" s="74"/>
      <c r="E76" s="74"/>
      <c r="F76" s="74"/>
      <c r="G76" s="74"/>
      <c r="H76" s="74"/>
      <c r="I76" s="74"/>
      <c r="J76" s="74"/>
      <c r="K76" s="74" t="s">
        <v>233</v>
      </c>
      <c r="L76" s="74">
        <f>L14</f>
        <v>50000</v>
      </c>
      <c r="M76" s="77">
        <v>0</v>
      </c>
    </row>
    <row r="77" spans="1:15" x14ac:dyDescent="0.25">
      <c r="B77" s="75"/>
      <c r="C77" s="56"/>
      <c r="D77" s="56"/>
      <c r="E77" s="56"/>
      <c r="F77" s="56"/>
      <c r="G77" s="56"/>
      <c r="H77" s="56"/>
      <c r="I77" s="56"/>
      <c r="J77" s="56"/>
      <c r="K77" s="56"/>
      <c r="L77" s="56"/>
      <c r="M77" s="57"/>
    </row>
    <row r="78" spans="1:15" x14ac:dyDescent="0.25">
      <c r="B78" s="64">
        <v>1</v>
      </c>
      <c r="C78" s="48" t="s">
        <v>5</v>
      </c>
      <c r="D78" s="48"/>
      <c r="E78" s="48"/>
      <c r="F78" s="48"/>
      <c r="G78" s="48"/>
      <c r="H78" s="48"/>
      <c r="I78" s="48"/>
      <c r="J78" s="48"/>
      <c r="K78" s="48"/>
      <c r="L78" s="48">
        <v>9000</v>
      </c>
      <c r="M78" s="49"/>
    </row>
    <row r="79" spans="1:15" x14ac:dyDescent="0.25">
      <c r="B79" s="98"/>
      <c r="C79" s="56"/>
      <c r="D79" s="56"/>
      <c r="E79" s="56"/>
      <c r="F79" s="56"/>
      <c r="G79" s="56"/>
      <c r="H79" s="56"/>
      <c r="I79" s="56"/>
      <c r="J79" s="56"/>
      <c r="K79" s="56"/>
      <c r="L79" s="56"/>
      <c r="M79" s="57"/>
    </row>
    <row r="80" spans="1:15" x14ac:dyDescent="0.25">
      <c r="B80" s="64">
        <v>2</v>
      </c>
      <c r="C80" s="48" t="s">
        <v>16</v>
      </c>
      <c r="D80" s="48"/>
      <c r="E80" s="48"/>
      <c r="F80" s="48"/>
      <c r="G80" s="48"/>
      <c r="H80" s="48"/>
      <c r="I80" s="48"/>
      <c r="J80" s="48"/>
      <c r="K80" s="48"/>
      <c r="L80" s="48">
        <v>0</v>
      </c>
      <c r="M80" s="49"/>
    </row>
    <row r="81" spans="2:13" x14ac:dyDescent="0.25">
      <c r="B81" s="98"/>
      <c r="C81" s="56"/>
      <c r="D81" s="56"/>
      <c r="E81" s="56"/>
      <c r="F81" s="56"/>
      <c r="G81" s="56"/>
      <c r="H81" s="56"/>
      <c r="I81" s="56"/>
      <c r="J81" s="56"/>
      <c r="K81" s="56"/>
      <c r="L81" s="56"/>
      <c r="M81" s="57"/>
    </row>
    <row r="82" spans="2:13" x14ac:dyDescent="0.25">
      <c r="B82" s="64">
        <v>3</v>
      </c>
      <c r="C82" s="48" t="s">
        <v>251</v>
      </c>
      <c r="D82" s="48"/>
      <c r="E82" s="48"/>
      <c r="F82" s="48"/>
      <c r="G82" s="48"/>
      <c r="H82" s="48"/>
      <c r="I82" s="48"/>
      <c r="J82" s="48"/>
      <c r="K82" s="48"/>
      <c r="L82" s="48"/>
      <c r="M82" s="49"/>
    </row>
    <row r="83" spans="2:13" x14ac:dyDescent="0.25">
      <c r="B83" s="99"/>
      <c r="C83" s="52"/>
      <c r="D83" s="52"/>
      <c r="E83" s="52"/>
      <c r="F83" s="52"/>
      <c r="G83" s="52"/>
      <c r="H83" s="52"/>
      <c r="I83" s="52"/>
      <c r="J83" s="52"/>
      <c r="K83" s="52"/>
      <c r="L83" s="52"/>
      <c r="M83" s="53"/>
    </row>
    <row r="84" spans="2:13" x14ac:dyDescent="0.25">
      <c r="B84" s="99"/>
      <c r="C84" s="52" t="s">
        <v>7</v>
      </c>
      <c r="D84" s="52"/>
      <c r="E84" s="52"/>
      <c r="F84" s="52"/>
      <c r="G84" s="52"/>
      <c r="H84" s="52"/>
      <c r="I84" s="52"/>
      <c r="J84" s="52"/>
      <c r="K84" s="52"/>
      <c r="L84" s="52">
        <v>3000</v>
      </c>
      <c r="M84" s="53"/>
    </row>
    <row r="85" spans="2:13" x14ac:dyDescent="0.25">
      <c r="B85" s="99"/>
      <c r="C85" s="52"/>
      <c r="D85" s="52"/>
      <c r="E85" s="52"/>
      <c r="F85" s="52"/>
      <c r="G85" s="52"/>
      <c r="H85" s="52"/>
      <c r="I85" s="52"/>
      <c r="J85" s="52"/>
      <c r="K85" s="52"/>
      <c r="L85" s="52"/>
      <c r="M85" s="53"/>
    </row>
    <row r="86" spans="2:13" x14ac:dyDescent="0.25">
      <c r="B86" s="99"/>
      <c r="C86" s="52" t="s">
        <v>252</v>
      </c>
      <c r="D86" s="52"/>
      <c r="E86" s="52"/>
      <c r="F86" s="52"/>
      <c r="G86" s="52"/>
      <c r="H86" s="52"/>
      <c r="I86" s="52"/>
      <c r="J86" s="52"/>
      <c r="K86" s="52"/>
      <c r="L86" s="52"/>
      <c r="M86" s="53"/>
    </row>
    <row r="87" spans="2:13" x14ac:dyDescent="0.25">
      <c r="B87" s="98"/>
      <c r="C87" s="56"/>
      <c r="D87" s="56"/>
      <c r="E87" s="56"/>
      <c r="F87" s="56"/>
      <c r="G87" s="56"/>
      <c r="H87" s="56"/>
      <c r="I87" s="56"/>
      <c r="J87" s="56"/>
      <c r="K87" s="56"/>
      <c r="L87" s="56"/>
      <c r="M87" s="57"/>
    </row>
    <row r="88" spans="2:13" x14ac:dyDescent="0.25">
      <c r="B88" s="64">
        <v>4</v>
      </c>
      <c r="C88" s="48" t="s">
        <v>14</v>
      </c>
      <c r="D88" s="48"/>
      <c r="E88" s="48"/>
      <c r="F88" s="48"/>
      <c r="G88" s="48"/>
      <c r="H88" s="48"/>
      <c r="I88" s="48"/>
      <c r="J88" s="48"/>
      <c r="K88" s="48"/>
      <c r="L88" s="48">
        <f>IF(OR(L80&gt;0, L101&gt;0), 6000, 0)</f>
        <v>0</v>
      </c>
      <c r="M88" s="49"/>
    </row>
    <row r="89" spans="2:13" x14ac:dyDescent="0.25">
      <c r="B89" s="98"/>
      <c r="C89" s="56"/>
      <c r="D89" s="56"/>
      <c r="E89" s="56"/>
      <c r="F89" s="56"/>
      <c r="G89" s="56"/>
      <c r="H89" s="56"/>
      <c r="I89" s="56"/>
      <c r="J89" s="56"/>
      <c r="K89" s="56"/>
      <c r="L89" s="56"/>
      <c r="M89" s="57"/>
    </row>
    <row r="90" spans="2:13" x14ac:dyDescent="0.25">
      <c r="B90" s="64">
        <v>5</v>
      </c>
      <c r="C90" s="48" t="s">
        <v>17</v>
      </c>
      <c r="D90" s="48"/>
      <c r="E90" s="48"/>
      <c r="F90" s="48"/>
      <c r="G90" s="48"/>
      <c r="H90" s="48"/>
      <c r="I90" s="48"/>
      <c r="J90" s="48"/>
      <c r="K90" s="48"/>
      <c r="L90" s="48">
        <v>7000</v>
      </c>
      <c r="M90" s="49"/>
    </row>
    <row r="91" spans="2:13" x14ac:dyDescent="0.25">
      <c r="B91" s="98"/>
      <c r="C91" s="56"/>
      <c r="D91" s="56"/>
      <c r="E91" s="56"/>
      <c r="F91" s="56"/>
      <c r="G91" s="56"/>
      <c r="H91" s="56"/>
      <c r="I91" s="56"/>
      <c r="J91" s="56"/>
      <c r="K91" s="56"/>
      <c r="L91" s="56"/>
      <c r="M91" s="57"/>
    </row>
    <row r="92" spans="2:13" x14ac:dyDescent="0.25">
      <c r="B92" s="64">
        <v>6</v>
      </c>
      <c r="C92" s="48" t="s">
        <v>258</v>
      </c>
      <c r="D92" s="48"/>
      <c r="E92" s="48"/>
      <c r="F92" s="48"/>
      <c r="G92" s="48"/>
      <c r="H92" s="48"/>
      <c r="I92" s="48"/>
      <c r="J92" s="48"/>
      <c r="K92" s="48"/>
      <c r="L92" s="48">
        <v>6000</v>
      </c>
      <c r="M92" s="49"/>
    </row>
    <row r="93" spans="2:13" x14ac:dyDescent="0.25">
      <c r="B93" s="98"/>
      <c r="C93" s="56"/>
      <c r="D93" s="56"/>
      <c r="E93" s="56"/>
      <c r="F93" s="56"/>
      <c r="G93" s="56"/>
      <c r="H93" s="56"/>
      <c r="I93" s="56"/>
      <c r="J93" s="56"/>
      <c r="K93" s="56"/>
      <c r="L93" s="56"/>
      <c r="M93" s="57"/>
    </row>
    <row r="94" spans="2:13" x14ac:dyDescent="0.25">
      <c r="B94" s="64">
        <v>7</v>
      </c>
      <c r="C94" s="48" t="s">
        <v>259</v>
      </c>
      <c r="D94" s="48"/>
      <c r="E94" s="48"/>
      <c r="F94" s="48"/>
      <c r="G94" s="48"/>
      <c r="H94" s="48"/>
      <c r="I94" s="48"/>
      <c r="J94" s="48"/>
      <c r="K94" s="48"/>
      <c r="L94" s="48">
        <v>2500</v>
      </c>
      <c r="M94" s="49"/>
    </row>
    <row r="95" spans="2:13" x14ac:dyDescent="0.25">
      <c r="B95" s="99"/>
      <c r="C95" s="52" t="s">
        <v>260</v>
      </c>
      <c r="D95" s="52"/>
      <c r="E95" s="52"/>
      <c r="F95" s="52"/>
      <c r="G95" s="52"/>
      <c r="H95" s="52"/>
      <c r="I95" s="52"/>
      <c r="J95" s="52"/>
      <c r="K95" s="52"/>
      <c r="L95" s="52">
        <v>2500</v>
      </c>
      <c r="M95" s="53"/>
    </row>
    <row r="96" spans="2:13" x14ac:dyDescent="0.25">
      <c r="B96" s="98"/>
      <c r="C96" s="56"/>
      <c r="D96" s="56"/>
      <c r="E96" s="56"/>
      <c r="F96" s="56"/>
      <c r="G96" s="56"/>
      <c r="H96" s="56"/>
      <c r="I96" s="56"/>
      <c r="J96" s="56"/>
      <c r="K96" s="56"/>
      <c r="L96" s="56"/>
      <c r="M96" s="57"/>
    </row>
    <row r="97" spans="2:13" x14ac:dyDescent="0.25">
      <c r="B97" s="64">
        <v>8</v>
      </c>
      <c r="C97" s="48" t="s">
        <v>262</v>
      </c>
      <c r="D97" s="48"/>
      <c r="E97" s="48"/>
      <c r="F97" s="48"/>
      <c r="G97" s="48"/>
      <c r="H97" s="48"/>
      <c r="I97" s="48"/>
      <c r="J97" s="48"/>
      <c r="K97" s="48"/>
      <c r="L97" s="48">
        <f>IF(L41&gt;0, 8000, 0)</f>
        <v>0</v>
      </c>
      <c r="M97" s="49"/>
    </row>
    <row r="98" spans="2:13" x14ac:dyDescent="0.25">
      <c r="B98" s="98"/>
      <c r="C98" s="56"/>
      <c r="D98" s="56"/>
      <c r="E98" s="56"/>
      <c r="F98" s="56"/>
      <c r="G98" s="56"/>
      <c r="H98" s="56"/>
      <c r="I98" s="56"/>
      <c r="J98" s="56"/>
      <c r="K98" s="56"/>
      <c r="L98" s="56"/>
      <c r="M98" s="57"/>
    </row>
    <row r="99" spans="2:13" x14ac:dyDescent="0.25">
      <c r="B99" s="64">
        <v>9</v>
      </c>
      <c r="C99" s="48" t="s">
        <v>38</v>
      </c>
      <c r="D99" s="48"/>
      <c r="E99" s="48"/>
      <c r="F99" s="48"/>
      <c r="G99" s="48"/>
      <c r="H99" s="48"/>
      <c r="I99" s="48"/>
      <c r="J99" s="48"/>
      <c r="K99" s="48"/>
      <c r="L99" s="48">
        <v>0</v>
      </c>
      <c r="M99" s="49"/>
    </row>
    <row r="100" spans="2:13" x14ac:dyDescent="0.25">
      <c r="B100" s="98"/>
      <c r="C100" s="56"/>
      <c r="D100" s="56"/>
      <c r="E100" s="56"/>
      <c r="F100" s="56"/>
      <c r="G100" s="56"/>
      <c r="H100" s="56"/>
      <c r="I100" s="56"/>
      <c r="J100" s="56"/>
      <c r="K100" s="56"/>
      <c r="L100" s="56"/>
      <c r="M100" s="57"/>
    </row>
    <row r="101" spans="2:13" x14ac:dyDescent="0.25">
      <c r="B101" s="100">
        <v>10</v>
      </c>
      <c r="C101" s="48" t="s">
        <v>40</v>
      </c>
      <c r="D101" s="48"/>
      <c r="E101" s="48"/>
      <c r="F101" s="48"/>
      <c r="G101" s="48"/>
      <c r="H101" s="48"/>
      <c r="I101" s="48"/>
      <c r="J101" s="48"/>
      <c r="K101" s="48"/>
      <c r="L101" s="48">
        <v>0</v>
      </c>
      <c r="M101" s="49"/>
    </row>
    <row r="102" spans="2:13" x14ac:dyDescent="0.25">
      <c r="B102" s="98"/>
      <c r="C102" s="55"/>
      <c r="D102" s="56"/>
      <c r="E102" s="56"/>
      <c r="F102" s="56"/>
      <c r="G102" s="56"/>
      <c r="H102" s="56"/>
      <c r="I102" s="56"/>
      <c r="J102" s="56"/>
      <c r="K102" s="56"/>
      <c r="L102" s="56"/>
      <c r="M102" s="57"/>
    </row>
    <row r="103" spans="2:13" x14ac:dyDescent="0.25">
      <c r="B103" s="71">
        <v>11</v>
      </c>
      <c r="C103" s="47" t="s">
        <v>283</v>
      </c>
      <c r="D103" s="48"/>
      <c r="E103" s="48"/>
      <c r="F103" s="48"/>
      <c r="G103" s="48"/>
      <c r="H103" s="48"/>
      <c r="I103" s="48"/>
      <c r="J103" s="48"/>
      <c r="K103" s="48"/>
      <c r="L103" s="48">
        <f>L19*2000</f>
        <v>0</v>
      </c>
      <c r="M103" s="49"/>
    </row>
    <row r="104" spans="2:13" x14ac:dyDescent="0.25">
      <c r="B104" s="99"/>
      <c r="C104" s="52"/>
      <c r="D104" s="52"/>
      <c r="E104" s="52"/>
      <c r="F104" s="52"/>
      <c r="G104" s="52"/>
      <c r="H104" s="52"/>
      <c r="I104" s="52"/>
      <c r="J104" s="52"/>
      <c r="K104" s="52"/>
      <c r="L104" s="52"/>
      <c r="M104" s="53"/>
    </row>
    <row r="105" spans="2:13" x14ac:dyDescent="0.25">
      <c r="B105" s="99"/>
      <c r="C105" s="52" t="s">
        <v>284</v>
      </c>
      <c r="D105" s="52"/>
      <c r="E105" s="52"/>
      <c r="F105" s="52"/>
      <c r="G105" s="52"/>
      <c r="H105" s="52"/>
      <c r="I105" s="52"/>
      <c r="J105" s="52"/>
      <c r="K105" s="52"/>
      <c r="L105" s="52">
        <f>L21*8000</f>
        <v>0</v>
      </c>
      <c r="M105" s="53"/>
    </row>
    <row r="106" spans="2:13" x14ac:dyDescent="0.25">
      <c r="B106" s="99"/>
      <c r="C106" s="52" t="s">
        <v>285</v>
      </c>
      <c r="D106" s="52"/>
      <c r="E106" s="52"/>
      <c r="F106" s="52"/>
      <c r="G106" s="52"/>
      <c r="H106" s="52"/>
      <c r="I106" s="52"/>
      <c r="J106" s="52"/>
      <c r="K106" s="52"/>
      <c r="L106" s="52">
        <f>L26*6000</f>
        <v>0</v>
      </c>
      <c r="M106" s="53"/>
    </row>
    <row r="107" spans="2:13" x14ac:dyDescent="0.25">
      <c r="B107" s="99"/>
      <c r="C107" s="52" t="s">
        <v>286</v>
      </c>
      <c r="D107" s="52"/>
      <c r="E107" s="52"/>
      <c r="F107" s="52"/>
      <c r="G107" s="52"/>
      <c r="H107" s="52"/>
      <c r="I107" s="52"/>
      <c r="J107" s="52"/>
      <c r="K107" s="52"/>
      <c r="L107" s="52">
        <f>L28*8000</f>
        <v>0</v>
      </c>
      <c r="M107" s="53"/>
    </row>
    <row r="108" spans="2:13" x14ac:dyDescent="0.25">
      <c r="B108" s="98"/>
      <c r="C108" s="56"/>
      <c r="D108" s="56"/>
      <c r="E108" s="56"/>
      <c r="F108" s="56"/>
      <c r="G108" s="56"/>
      <c r="H108" s="56"/>
      <c r="I108" s="56"/>
      <c r="J108" s="56"/>
      <c r="K108" s="56"/>
      <c r="L108" s="56"/>
      <c r="M108" s="57"/>
    </row>
    <row r="109" spans="2:13" x14ac:dyDescent="0.25">
      <c r="B109" s="100">
        <v>12</v>
      </c>
      <c r="C109" s="48" t="s">
        <v>265</v>
      </c>
      <c r="D109" s="48"/>
      <c r="E109" s="48"/>
      <c r="F109" s="48"/>
      <c r="G109" s="48"/>
      <c r="H109" s="48"/>
      <c r="I109" s="48"/>
      <c r="J109" s="48"/>
      <c r="K109" s="48"/>
      <c r="L109" s="48">
        <v>0</v>
      </c>
      <c r="M109" s="49"/>
    </row>
    <row r="110" spans="2:13" x14ac:dyDescent="0.25">
      <c r="B110" s="98"/>
      <c r="C110" s="56"/>
      <c r="D110" s="56"/>
      <c r="E110" s="56"/>
      <c r="F110" s="56"/>
      <c r="G110" s="56"/>
      <c r="H110" s="56"/>
      <c r="I110" s="56"/>
      <c r="J110" s="56"/>
      <c r="K110" s="56"/>
      <c r="L110" s="56"/>
      <c r="M110" s="57"/>
    </row>
    <row r="111" spans="2:13" x14ac:dyDescent="0.25">
      <c r="B111" s="100">
        <v>13</v>
      </c>
      <c r="C111" s="48" t="s">
        <v>34</v>
      </c>
      <c r="D111" s="48"/>
      <c r="E111" s="48"/>
      <c r="F111" s="48"/>
      <c r="G111" s="48"/>
      <c r="H111" s="48"/>
      <c r="I111" s="48"/>
      <c r="J111" s="48"/>
      <c r="K111" s="48"/>
      <c r="L111" s="48">
        <v>0</v>
      </c>
      <c r="M111" s="49"/>
    </row>
    <row r="112" spans="2:13" x14ac:dyDescent="0.25">
      <c r="B112" s="98"/>
      <c r="C112" s="56"/>
      <c r="D112" s="56"/>
      <c r="E112" s="56"/>
      <c r="F112" s="56"/>
      <c r="G112" s="56"/>
      <c r="H112" s="56"/>
      <c r="I112" s="56"/>
      <c r="J112" s="56"/>
      <c r="K112" s="56"/>
      <c r="L112" s="56"/>
      <c r="M112" s="57"/>
    </row>
    <row r="113" spans="2:13" x14ac:dyDescent="0.25">
      <c r="B113" s="100">
        <v>14</v>
      </c>
      <c r="C113" s="48" t="s">
        <v>266</v>
      </c>
      <c r="D113" s="48"/>
      <c r="E113" s="48"/>
      <c r="F113" s="48"/>
      <c r="G113" s="48"/>
      <c r="H113" s="48"/>
      <c r="I113" s="48"/>
      <c r="J113" s="48"/>
      <c r="K113" s="48"/>
      <c r="L113" s="48">
        <f>IF(L46&gt;0, 3000, 0)</f>
        <v>0</v>
      </c>
      <c r="M113" s="49"/>
    </row>
    <row r="114" spans="2:13" x14ac:dyDescent="0.25">
      <c r="B114" s="99"/>
      <c r="C114" s="52" t="s">
        <v>267</v>
      </c>
      <c r="D114" s="52"/>
      <c r="E114" s="52"/>
      <c r="F114" s="52"/>
      <c r="G114" s="52"/>
      <c r="H114" s="52"/>
      <c r="I114" s="52"/>
      <c r="J114" s="52"/>
      <c r="K114" s="52"/>
      <c r="L114" s="52">
        <v>4000</v>
      </c>
      <c r="M114" s="53"/>
    </row>
    <row r="115" spans="2:13" x14ac:dyDescent="0.25">
      <c r="B115" s="98"/>
      <c r="C115" s="56"/>
      <c r="D115" s="56"/>
      <c r="E115" s="56"/>
      <c r="F115" s="56"/>
      <c r="G115" s="56"/>
      <c r="H115" s="56"/>
      <c r="I115" s="56"/>
      <c r="J115" s="56"/>
      <c r="K115" s="56"/>
      <c r="L115" s="56"/>
      <c r="M115" s="57"/>
    </row>
    <row r="116" spans="2:13" x14ac:dyDescent="0.25">
      <c r="B116" s="100">
        <v>15</v>
      </c>
      <c r="C116" s="48" t="s">
        <v>268</v>
      </c>
      <c r="D116" s="48"/>
      <c r="E116" s="48"/>
      <c r="F116" s="48"/>
      <c r="G116" s="48"/>
      <c r="H116" s="48"/>
      <c r="I116" s="48"/>
      <c r="J116" s="48"/>
      <c r="K116" s="48"/>
      <c r="L116" s="48">
        <f>IF(OR(L39&gt;0, L48&gt;0), 3000, 0)</f>
        <v>0</v>
      </c>
      <c r="M116" s="49"/>
    </row>
    <row r="117" spans="2:13" x14ac:dyDescent="0.25">
      <c r="B117" s="98"/>
      <c r="C117" s="56"/>
      <c r="D117" s="56"/>
      <c r="E117" s="56"/>
      <c r="F117" s="56"/>
      <c r="G117" s="56"/>
      <c r="H117" s="56"/>
      <c r="I117" s="56"/>
      <c r="J117" s="56"/>
      <c r="K117" s="56"/>
      <c r="L117" s="56"/>
      <c r="M117" s="57"/>
    </row>
    <row r="118" spans="2:13" x14ac:dyDescent="0.25">
      <c r="B118" s="100">
        <v>16</v>
      </c>
      <c r="C118" s="48" t="s">
        <v>269</v>
      </c>
      <c r="D118" s="48"/>
      <c r="E118" s="48"/>
      <c r="F118" s="48"/>
      <c r="G118" s="48"/>
      <c r="H118" s="48"/>
      <c r="I118" s="48"/>
      <c r="J118" s="48"/>
      <c r="K118" s="48"/>
      <c r="L118" s="48">
        <f>IF(L50&gt;0, 3000, 0)</f>
        <v>0</v>
      </c>
      <c r="M118" s="49"/>
    </row>
    <row r="119" spans="2:13" x14ac:dyDescent="0.25">
      <c r="B119" s="98"/>
      <c r="C119" s="56"/>
      <c r="D119" s="56"/>
      <c r="E119" s="56"/>
      <c r="F119" s="56"/>
      <c r="G119" s="56"/>
      <c r="H119" s="56"/>
      <c r="I119" s="56"/>
      <c r="J119" s="56"/>
      <c r="K119" s="56"/>
      <c r="L119" s="56"/>
      <c r="M119" s="57"/>
    </row>
    <row r="120" spans="2:13" x14ac:dyDescent="0.25">
      <c r="B120" s="100">
        <v>17</v>
      </c>
      <c r="C120" s="48" t="s">
        <v>270</v>
      </c>
      <c r="D120" s="48"/>
      <c r="E120" s="48"/>
      <c r="F120" s="48"/>
      <c r="G120" s="48"/>
      <c r="H120" s="48"/>
      <c r="I120" s="48"/>
      <c r="J120" s="48"/>
      <c r="K120" s="48"/>
      <c r="L120" s="48">
        <v>250</v>
      </c>
      <c r="M120" s="49"/>
    </row>
    <row r="121" spans="2:13" x14ac:dyDescent="0.25">
      <c r="B121" s="98"/>
      <c r="C121" s="56"/>
      <c r="D121" s="56"/>
      <c r="E121" s="56"/>
      <c r="F121" s="56"/>
      <c r="G121" s="56"/>
      <c r="H121" s="56"/>
      <c r="I121" s="56"/>
      <c r="J121" s="56"/>
      <c r="K121" s="56"/>
      <c r="L121" s="56"/>
      <c r="M121" s="57"/>
    </row>
    <row r="122" spans="2:13" x14ac:dyDescent="0.25">
      <c r="B122" s="100">
        <v>18</v>
      </c>
      <c r="C122" s="48" t="s">
        <v>271</v>
      </c>
      <c r="D122" s="48"/>
      <c r="E122" s="48"/>
      <c r="F122" s="48"/>
      <c r="G122" s="48"/>
      <c r="H122" s="48"/>
      <c r="I122" s="48"/>
      <c r="J122" s="48"/>
      <c r="K122" s="48"/>
      <c r="L122" s="48">
        <v>1000</v>
      </c>
      <c r="M122" s="49"/>
    </row>
    <row r="123" spans="2:13" x14ac:dyDescent="0.25">
      <c r="B123" s="98"/>
      <c r="C123" s="56"/>
      <c r="D123" s="56"/>
      <c r="E123" s="56"/>
      <c r="F123" s="56"/>
      <c r="G123" s="56"/>
      <c r="H123" s="56"/>
      <c r="I123" s="56"/>
      <c r="J123" s="56"/>
      <c r="K123" s="52"/>
      <c r="L123" s="52"/>
      <c r="M123" s="53"/>
    </row>
    <row r="124" spans="2:13" ht="14.4" x14ac:dyDescent="0.3">
      <c r="B124" s="70"/>
      <c r="C124" s="94" t="s">
        <v>272</v>
      </c>
      <c r="D124" s="95"/>
      <c r="E124" s="95"/>
      <c r="F124" s="95"/>
      <c r="G124" s="95"/>
      <c r="H124" s="95"/>
      <c r="I124" s="95"/>
      <c r="J124" s="95"/>
      <c r="K124" s="96" t="s">
        <v>233</v>
      </c>
      <c r="L124" s="96">
        <f>SUM(L78:L122)</f>
        <v>35250</v>
      </c>
      <c r="M124" s="97">
        <v>0</v>
      </c>
    </row>
    <row r="125" spans="2:13" ht="14.4" x14ac:dyDescent="0.3">
      <c r="B125" s="72"/>
      <c r="C125" s="73" t="s">
        <v>273</v>
      </c>
      <c r="D125" s="74"/>
      <c r="E125" s="74"/>
      <c r="F125" s="74"/>
      <c r="G125" s="74"/>
      <c r="H125" s="74"/>
      <c r="I125" s="74"/>
      <c r="J125" s="74"/>
      <c r="K125" s="78" t="s">
        <v>233</v>
      </c>
      <c r="L125" s="78">
        <f>IF((L76-L124)&lt;0, 0, L76-L124)</f>
        <v>14750</v>
      </c>
      <c r="M125" s="90">
        <v>0</v>
      </c>
    </row>
    <row r="126" spans="2:13" x14ac:dyDescent="0.25">
      <c r="B126" s="54"/>
      <c r="C126" s="52"/>
      <c r="D126" s="52"/>
      <c r="E126" s="52"/>
      <c r="F126" s="52"/>
      <c r="G126" s="52"/>
      <c r="H126" s="52"/>
      <c r="I126" s="52"/>
      <c r="J126" s="52"/>
      <c r="K126" s="52"/>
      <c r="L126" s="52"/>
      <c r="M126" s="53"/>
    </row>
    <row r="127" spans="2:13" ht="15.6" x14ac:dyDescent="0.25">
      <c r="B127" s="91" t="s">
        <v>274</v>
      </c>
      <c r="C127" s="92"/>
      <c r="D127" s="92"/>
      <c r="E127" s="92"/>
      <c r="F127" s="92"/>
      <c r="G127" s="92"/>
      <c r="H127" s="92"/>
      <c r="I127" s="92"/>
      <c r="J127" s="92"/>
      <c r="K127" s="92"/>
      <c r="L127" s="92"/>
      <c r="M127" s="93"/>
    </row>
    <row r="128" spans="2:13" s="1" customFormat="1" ht="16.8" customHeight="1" x14ac:dyDescent="0.3">
      <c r="B128" s="101"/>
      <c r="C128" s="102" t="s">
        <v>275</v>
      </c>
      <c r="D128" s="103"/>
      <c r="E128" s="103"/>
      <c r="F128" s="103"/>
      <c r="G128" s="103"/>
      <c r="H128" s="103"/>
      <c r="I128" s="103"/>
      <c r="J128" s="103"/>
      <c r="K128" s="104" t="s">
        <v>233</v>
      </c>
      <c r="L128" s="106">
        <f>VLOOKUP(L125, ITR!B4:F15, 5, TRUE) + VLOOKUP(L125, ITR!B4:F15, 4, TRUE) * (L125 - VLOOKUP(L125, ITR!B4:F15, 3, TRUE))</f>
        <v>97.5</v>
      </c>
      <c r="M128" s="107"/>
    </row>
  </sheetData>
  <mergeCells count="2">
    <mergeCell ref="B127:M127"/>
    <mergeCell ref="L128:M128"/>
  </mergeCells>
  <pageMargins left="0.7" right="0.7" top="0.75" bottom="0.75" header="0.3" footer="0.3"/>
  <pageSetup orientation="portrait" r:id="rId1"/>
  <drawing r:id="rId2"/>
  <legacyDrawing r:id="rId3"/>
  <controls>
    <mc:AlternateContent xmlns:mc="http://schemas.openxmlformats.org/markup-compatibility/2006">
      <mc:Choice Requires="x14">
        <control shapeId="9235" r:id="rId4" name="ResetButton">
          <controlPr defaultSize="0" autoLine="0" r:id="rId5">
            <anchor moveWithCells="1">
              <from>
                <xdr:col>15</xdr:col>
                <xdr:colOff>594360</xdr:colOff>
                <xdr:row>66</xdr:row>
                <xdr:rowOff>190500</xdr:rowOff>
              </from>
              <to>
                <xdr:col>17</xdr:col>
                <xdr:colOff>594360</xdr:colOff>
                <xdr:row>68</xdr:row>
                <xdr:rowOff>152400</xdr:rowOff>
              </to>
            </anchor>
          </controlPr>
        </control>
      </mc:Choice>
      <mc:Fallback>
        <control shapeId="9235" r:id="rId4" name="ResetButton"/>
      </mc:Fallback>
    </mc:AlternateContent>
    <mc:AlternateContent xmlns:mc="http://schemas.openxmlformats.org/markup-compatibility/2006">
      <mc:Choice Requires="x14">
        <control shapeId="9234" r:id="rId6" name="chkboxOther5">
          <controlPr defaultSize="0" autoLine="0" r:id="rId7">
            <anchor moveWithCells="1">
              <from>
                <xdr:col>2</xdr:col>
                <xdr:colOff>7620</xdr:colOff>
                <xdr:row>67</xdr:row>
                <xdr:rowOff>7620</xdr:rowOff>
              </from>
              <to>
                <xdr:col>8</xdr:col>
                <xdr:colOff>594360</xdr:colOff>
                <xdr:row>67</xdr:row>
                <xdr:rowOff>182880</xdr:rowOff>
              </to>
            </anchor>
          </controlPr>
        </control>
      </mc:Choice>
      <mc:Fallback>
        <control shapeId="9234" r:id="rId6" name="chkboxOther5"/>
      </mc:Fallback>
    </mc:AlternateContent>
    <mc:AlternateContent xmlns:mc="http://schemas.openxmlformats.org/markup-compatibility/2006">
      <mc:Choice Requires="x14">
        <control shapeId="9233" r:id="rId8" name="chkboxOther4">
          <controlPr defaultSize="0" autoLine="0" r:id="rId9">
            <anchor moveWithCells="1">
              <from>
                <xdr:col>2</xdr:col>
                <xdr:colOff>7620</xdr:colOff>
                <xdr:row>66</xdr:row>
                <xdr:rowOff>7620</xdr:rowOff>
              </from>
              <to>
                <xdr:col>11</xdr:col>
                <xdr:colOff>0</xdr:colOff>
                <xdr:row>66</xdr:row>
                <xdr:rowOff>190500</xdr:rowOff>
              </to>
            </anchor>
          </controlPr>
        </control>
      </mc:Choice>
      <mc:Fallback>
        <control shapeId="9233" r:id="rId8" name="chkboxOther4"/>
      </mc:Fallback>
    </mc:AlternateContent>
    <mc:AlternateContent xmlns:mc="http://schemas.openxmlformats.org/markup-compatibility/2006">
      <mc:Choice Requires="x14">
        <control shapeId="9232" r:id="rId10" name="chkboxOther3">
          <controlPr defaultSize="0" autoLine="0" r:id="rId11">
            <anchor moveWithCells="1">
              <from>
                <xdr:col>2</xdr:col>
                <xdr:colOff>7620</xdr:colOff>
                <xdr:row>65</xdr:row>
                <xdr:rowOff>7620</xdr:rowOff>
              </from>
              <to>
                <xdr:col>5</xdr:col>
                <xdr:colOff>0</xdr:colOff>
                <xdr:row>65</xdr:row>
                <xdr:rowOff>190500</xdr:rowOff>
              </to>
            </anchor>
          </controlPr>
        </control>
      </mc:Choice>
      <mc:Fallback>
        <control shapeId="9232" r:id="rId10" name="chkboxOther3"/>
      </mc:Fallback>
    </mc:AlternateContent>
    <mc:AlternateContent xmlns:mc="http://schemas.openxmlformats.org/markup-compatibility/2006">
      <mc:Choice Requires="x14">
        <control shapeId="9231" r:id="rId12" name="chkboxOther2">
          <controlPr defaultSize="0" autoLine="0" r:id="rId13">
            <anchor moveWithCells="1">
              <from>
                <xdr:col>2</xdr:col>
                <xdr:colOff>7620</xdr:colOff>
                <xdr:row>64</xdr:row>
                <xdr:rowOff>7620</xdr:rowOff>
              </from>
              <to>
                <xdr:col>4</xdr:col>
                <xdr:colOff>746760</xdr:colOff>
                <xdr:row>64</xdr:row>
                <xdr:rowOff>190500</xdr:rowOff>
              </to>
            </anchor>
          </controlPr>
        </control>
      </mc:Choice>
      <mc:Fallback>
        <control shapeId="9231" r:id="rId12" name="chkboxOther2"/>
      </mc:Fallback>
    </mc:AlternateContent>
    <mc:AlternateContent xmlns:mc="http://schemas.openxmlformats.org/markup-compatibility/2006">
      <mc:Choice Requires="x14">
        <control shapeId="9230" r:id="rId14" name="chkboxOther1">
          <controlPr defaultSize="0" autoLine="0" r:id="rId15">
            <anchor moveWithCells="1">
              <from>
                <xdr:col>2</xdr:col>
                <xdr:colOff>7620</xdr:colOff>
                <xdr:row>63</xdr:row>
                <xdr:rowOff>7620</xdr:rowOff>
              </from>
              <to>
                <xdr:col>6</xdr:col>
                <xdr:colOff>0</xdr:colOff>
                <xdr:row>64</xdr:row>
                <xdr:rowOff>0</xdr:rowOff>
              </to>
            </anchor>
          </controlPr>
        </control>
      </mc:Choice>
      <mc:Fallback>
        <control shapeId="9230" r:id="rId14" name="chkboxOther1"/>
      </mc:Fallback>
    </mc:AlternateContent>
    <mc:AlternateContent xmlns:mc="http://schemas.openxmlformats.org/markup-compatibility/2006">
      <mc:Choice Requires="x14">
        <control shapeId="9229" r:id="rId16" name="chkboxMedical3">
          <controlPr defaultSize="0" autoLine="0" r:id="rId17">
            <anchor moveWithCells="1">
              <from>
                <xdr:col>2</xdr:col>
                <xdr:colOff>7620</xdr:colOff>
                <xdr:row>57</xdr:row>
                <xdr:rowOff>7620</xdr:rowOff>
              </from>
              <to>
                <xdr:col>7</xdr:col>
                <xdr:colOff>601980</xdr:colOff>
                <xdr:row>57</xdr:row>
                <xdr:rowOff>198120</xdr:rowOff>
              </to>
            </anchor>
          </controlPr>
        </control>
      </mc:Choice>
      <mc:Fallback>
        <control shapeId="9229" r:id="rId16" name="chkboxMedical3"/>
      </mc:Fallback>
    </mc:AlternateContent>
    <mc:AlternateContent xmlns:mc="http://schemas.openxmlformats.org/markup-compatibility/2006">
      <mc:Choice Requires="x14">
        <control shapeId="9228" r:id="rId18" name="chkboxMedical2">
          <controlPr defaultSize="0" autoLine="0" r:id="rId19">
            <anchor moveWithCells="1">
              <from>
                <xdr:col>2</xdr:col>
                <xdr:colOff>7620</xdr:colOff>
                <xdr:row>56</xdr:row>
                <xdr:rowOff>7620</xdr:rowOff>
              </from>
              <to>
                <xdr:col>7</xdr:col>
                <xdr:colOff>0</xdr:colOff>
                <xdr:row>56</xdr:row>
                <xdr:rowOff>205740</xdr:rowOff>
              </to>
            </anchor>
          </controlPr>
        </control>
      </mc:Choice>
      <mc:Fallback>
        <control shapeId="9228" r:id="rId18" name="chkboxMedical2"/>
      </mc:Fallback>
    </mc:AlternateContent>
    <mc:AlternateContent xmlns:mc="http://schemas.openxmlformats.org/markup-compatibility/2006">
      <mc:Choice Requires="x14">
        <control shapeId="9227" r:id="rId20" name="chkboxMedical1">
          <controlPr defaultSize="0" autoLine="0" r:id="rId21">
            <anchor moveWithCells="1">
              <from>
                <xdr:col>2</xdr:col>
                <xdr:colOff>7620</xdr:colOff>
                <xdr:row>55</xdr:row>
                <xdr:rowOff>7620</xdr:rowOff>
              </from>
              <to>
                <xdr:col>6</xdr:col>
                <xdr:colOff>0</xdr:colOff>
                <xdr:row>56</xdr:row>
                <xdr:rowOff>0</xdr:rowOff>
              </to>
            </anchor>
          </controlPr>
        </control>
      </mc:Choice>
      <mc:Fallback>
        <control shapeId="9227" r:id="rId20" name="chkboxMedical1"/>
      </mc:Fallback>
    </mc:AlternateContent>
    <mc:AlternateContent xmlns:mc="http://schemas.openxmlformats.org/markup-compatibility/2006">
      <mc:Choice Requires="x14">
        <control shapeId="9226" r:id="rId22" name="btnNoEducation">
          <controlPr defaultSize="0" autoLine="0" r:id="rId23">
            <anchor>
              <from>
                <xdr:col>4</xdr:col>
                <xdr:colOff>15240</xdr:colOff>
                <xdr:row>36</xdr:row>
                <xdr:rowOff>53340</xdr:rowOff>
              </from>
              <to>
                <xdr:col>5</xdr:col>
                <xdr:colOff>601980</xdr:colOff>
                <xdr:row>37</xdr:row>
                <xdr:rowOff>38100</xdr:rowOff>
              </to>
            </anchor>
          </controlPr>
        </control>
      </mc:Choice>
      <mc:Fallback>
        <control shapeId="9226" r:id="rId22" name="btnNoEducation"/>
      </mc:Fallback>
    </mc:AlternateContent>
    <mc:AlternateContent xmlns:mc="http://schemas.openxmlformats.org/markup-compatibility/2006">
      <mc:Choice Requires="x14">
        <control shapeId="9225" r:id="rId24" name="btnYesEducation">
          <controlPr defaultSize="0" autoLine="0" r:id="rId25">
            <anchor>
              <from>
                <xdr:col>2</xdr:col>
                <xdr:colOff>15240</xdr:colOff>
                <xdr:row>36</xdr:row>
                <xdr:rowOff>53340</xdr:rowOff>
              </from>
              <to>
                <xdr:col>3</xdr:col>
                <xdr:colOff>754380</xdr:colOff>
                <xdr:row>37</xdr:row>
                <xdr:rowOff>38100</xdr:rowOff>
              </to>
            </anchor>
          </controlPr>
        </control>
      </mc:Choice>
      <mc:Fallback>
        <control shapeId="9225" r:id="rId24" name="btnYesEducation"/>
      </mc:Fallback>
    </mc:AlternateContent>
    <mc:AlternateContent xmlns:mc="http://schemas.openxmlformats.org/markup-compatibility/2006">
      <mc:Choice Requires="x14">
        <control shapeId="9224" r:id="rId26" name="btn2Provide">
          <controlPr defaultSize="0" autoLine="0" r:id="rId27">
            <anchor>
              <from>
                <xdr:col>7</xdr:col>
                <xdr:colOff>30480</xdr:colOff>
                <xdr:row>30</xdr:row>
                <xdr:rowOff>60960</xdr:rowOff>
              </from>
              <to>
                <xdr:col>9</xdr:col>
                <xdr:colOff>617220</xdr:colOff>
                <xdr:row>31</xdr:row>
                <xdr:rowOff>30480</xdr:rowOff>
              </to>
            </anchor>
          </controlPr>
        </control>
      </mc:Choice>
      <mc:Fallback>
        <control shapeId="9224" r:id="rId26" name="btn2Provide"/>
      </mc:Fallback>
    </mc:AlternateContent>
    <mc:AlternateContent xmlns:mc="http://schemas.openxmlformats.org/markup-compatibility/2006">
      <mc:Choice Requires="x14">
        <control shapeId="9223" r:id="rId28" name="btn1Provide">
          <controlPr defaultSize="0" autoLine="0" r:id="rId29">
            <anchor>
              <from>
                <xdr:col>4</xdr:col>
                <xdr:colOff>15240</xdr:colOff>
                <xdr:row>30</xdr:row>
                <xdr:rowOff>60960</xdr:rowOff>
              </from>
              <to>
                <xdr:col>5</xdr:col>
                <xdr:colOff>601980</xdr:colOff>
                <xdr:row>31</xdr:row>
                <xdr:rowOff>45720</xdr:rowOff>
              </to>
            </anchor>
          </controlPr>
        </control>
      </mc:Choice>
      <mc:Fallback>
        <control shapeId="9223" r:id="rId28" name="btn1Provide"/>
      </mc:Fallback>
    </mc:AlternateContent>
    <mc:AlternateContent xmlns:mc="http://schemas.openxmlformats.org/markup-compatibility/2006">
      <mc:Choice Requires="x14">
        <control shapeId="9222" r:id="rId30" name="btnNoProvide">
          <controlPr defaultSize="0" autoLine="0" r:id="rId31">
            <anchor>
              <from>
                <xdr:col>2</xdr:col>
                <xdr:colOff>22860</xdr:colOff>
                <xdr:row>30</xdr:row>
                <xdr:rowOff>53340</xdr:rowOff>
              </from>
              <to>
                <xdr:col>4</xdr:col>
                <xdr:colOff>0</xdr:colOff>
                <xdr:row>31</xdr:row>
                <xdr:rowOff>15240</xdr:rowOff>
              </to>
            </anchor>
          </controlPr>
        </control>
      </mc:Choice>
      <mc:Fallback>
        <control shapeId="9222" r:id="rId30" name="btnNoProvide"/>
      </mc:Fallback>
    </mc:AlternateContent>
    <mc:AlternateContent xmlns:mc="http://schemas.openxmlformats.org/markup-compatibility/2006">
      <mc:Choice Requires="x14">
        <control shapeId="9221" r:id="rId32" name="chkboxSpouseDisabled">
          <controlPr defaultSize="0" disabled="1" autoLine="0" r:id="rId33">
            <anchor moveWithCells="1">
              <from>
                <xdr:col>4</xdr:col>
                <xdr:colOff>15240</xdr:colOff>
                <xdr:row>23</xdr:row>
                <xdr:rowOff>15240</xdr:rowOff>
              </from>
              <to>
                <xdr:col>6</xdr:col>
                <xdr:colOff>601980</xdr:colOff>
                <xdr:row>24</xdr:row>
                <xdr:rowOff>30480</xdr:rowOff>
              </to>
            </anchor>
          </controlPr>
        </control>
      </mc:Choice>
      <mc:Fallback>
        <control shapeId="9221" r:id="rId32" name="chkboxSpouseDisabled"/>
      </mc:Fallback>
    </mc:AlternateContent>
    <mc:AlternateContent xmlns:mc="http://schemas.openxmlformats.org/markup-compatibility/2006">
      <mc:Choice Requires="x14">
        <control shapeId="9220" r:id="rId34" name="chkboxSelfDisabled">
          <controlPr defaultSize="0" autoLine="0" r:id="rId35">
            <anchor moveWithCells="1">
              <from>
                <xdr:col>2</xdr:col>
                <xdr:colOff>7620</xdr:colOff>
                <xdr:row>23</xdr:row>
                <xdr:rowOff>7620</xdr:rowOff>
              </from>
              <to>
                <xdr:col>3</xdr:col>
                <xdr:colOff>754380</xdr:colOff>
                <xdr:row>24</xdr:row>
                <xdr:rowOff>38100</xdr:rowOff>
              </to>
            </anchor>
          </controlPr>
        </control>
      </mc:Choice>
      <mc:Fallback>
        <control shapeId="9220" r:id="rId34" name="chkboxSelfDisabled"/>
      </mc:Fallback>
    </mc:AlternateContent>
    <mc:AlternateContent xmlns:mc="http://schemas.openxmlformats.org/markup-compatibility/2006">
      <mc:Choice Requires="x14">
        <control shapeId="9219" r:id="rId36" name="btnMarried">
          <controlPr defaultSize="0" autoLine="0" r:id="rId37">
            <anchor>
              <from>
                <xdr:col>4</xdr:col>
                <xdr:colOff>15240</xdr:colOff>
                <xdr:row>16</xdr:row>
                <xdr:rowOff>15240</xdr:rowOff>
              </from>
              <to>
                <xdr:col>5</xdr:col>
                <xdr:colOff>601980</xdr:colOff>
                <xdr:row>17</xdr:row>
                <xdr:rowOff>0</xdr:rowOff>
              </to>
            </anchor>
          </controlPr>
        </control>
      </mc:Choice>
      <mc:Fallback>
        <control shapeId="9219" r:id="rId36" name="btnMarried"/>
      </mc:Fallback>
    </mc:AlternateContent>
    <mc:AlternateContent xmlns:mc="http://schemas.openxmlformats.org/markup-compatibility/2006">
      <mc:Choice Requires="x14">
        <control shapeId="9218" r:id="rId38" name="btnDivorced">
          <controlPr defaultSize="0" autoLine="0" r:id="rId39">
            <anchor>
              <from>
                <xdr:col>6</xdr:col>
                <xdr:colOff>15240</xdr:colOff>
                <xdr:row>16</xdr:row>
                <xdr:rowOff>15240</xdr:rowOff>
              </from>
              <to>
                <xdr:col>8</xdr:col>
                <xdr:colOff>0</xdr:colOff>
                <xdr:row>16</xdr:row>
                <xdr:rowOff>205740</xdr:rowOff>
              </to>
            </anchor>
          </controlPr>
        </control>
      </mc:Choice>
      <mc:Fallback>
        <control shapeId="9218" r:id="rId38" name="btnDivorced"/>
      </mc:Fallback>
    </mc:AlternateContent>
    <mc:AlternateContent xmlns:mc="http://schemas.openxmlformats.org/markup-compatibility/2006">
      <mc:Choice Requires="x14">
        <control shapeId="9217" r:id="rId40" name="btnSingle">
          <controlPr defaultSize="0" autoLine="0" r:id="rId41">
            <anchor>
              <from>
                <xdr:col>2</xdr:col>
                <xdr:colOff>15240</xdr:colOff>
                <xdr:row>16</xdr:row>
                <xdr:rowOff>15240</xdr:rowOff>
              </from>
              <to>
                <xdr:col>3</xdr:col>
                <xdr:colOff>754380</xdr:colOff>
                <xdr:row>17</xdr:row>
                <xdr:rowOff>0</xdr:rowOff>
              </to>
            </anchor>
          </controlPr>
        </control>
      </mc:Choice>
      <mc:Fallback>
        <control shapeId="9217" r:id="rId40" name="btnSingl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89062-405F-439E-83BB-20453171AFBA}">
  <sheetPr codeName="Sheet2"/>
  <dimension ref="B2:F15"/>
  <sheetViews>
    <sheetView workbookViewId="0">
      <selection activeCell="C20" sqref="C20"/>
    </sheetView>
  </sheetViews>
  <sheetFormatPr defaultRowHeight="14.4" x14ac:dyDescent="0.3"/>
  <cols>
    <col min="2" max="6" width="28.77734375" customWidth="1"/>
  </cols>
  <sheetData>
    <row r="2" spans="2:6" ht="15.6" x14ac:dyDescent="0.3">
      <c r="B2" s="79" t="s">
        <v>276</v>
      </c>
      <c r="C2" s="80"/>
      <c r="D2" s="81" t="s">
        <v>277</v>
      </c>
      <c r="E2" s="81" t="s">
        <v>278</v>
      </c>
      <c r="F2" s="81" t="s">
        <v>279</v>
      </c>
    </row>
    <row r="3" spans="2:6" ht="15.6" x14ac:dyDescent="0.3">
      <c r="B3" s="82" t="s">
        <v>280</v>
      </c>
      <c r="C3" s="83" t="s">
        <v>281</v>
      </c>
      <c r="D3" s="84"/>
      <c r="E3" s="84"/>
      <c r="F3" s="84"/>
    </row>
    <row r="4" spans="2:6" ht="15.6" x14ac:dyDescent="0.3">
      <c r="B4" s="85">
        <v>0</v>
      </c>
      <c r="C4" s="86">
        <v>5000</v>
      </c>
      <c r="D4" s="87">
        <v>0</v>
      </c>
      <c r="E4" s="87">
        <v>0</v>
      </c>
      <c r="F4" s="86">
        <v>0</v>
      </c>
    </row>
    <row r="5" spans="2:6" ht="15.6" x14ac:dyDescent="0.3">
      <c r="B5" s="31">
        <v>5001</v>
      </c>
      <c r="C5" s="88">
        <v>20000</v>
      </c>
      <c r="D5" s="31">
        <v>5000</v>
      </c>
      <c r="E5" s="31">
        <v>0.01</v>
      </c>
      <c r="F5" s="88">
        <f>(C4-B4)*E4</f>
        <v>0</v>
      </c>
    </row>
    <row r="6" spans="2:6" ht="15.6" x14ac:dyDescent="0.3">
      <c r="B6" s="85">
        <v>20001</v>
      </c>
      <c r="C6" s="86">
        <v>35000</v>
      </c>
      <c r="D6" s="85">
        <v>20000</v>
      </c>
      <c r="E6" s="85">
        <v>0.03</v>
      </c>
      <c r="F6" s="86">
        <v>150</v>
      </c>
    </row>
    <row r="7" spans="2:6" ht="15.6" x14ac:dyDescent="0.3">
      <c r="B7" s="31">
        <v>35001</v>
      </c>
      <c r="C7" s="88">
        <v>50000</v>
      </c>
      <c r="D7" s="31">
        <v>35000</v>
      </c>
      <c r="E7" s="31">
        <v>0.08</v>
      </c>
      <c r="F7" s="88">
        <v>600</v>
      </c>
    </row>
    <row r="8" spans="2:6" ht="15.6" x14ac:dyDescent="0.3">
      <c r="B8" s="85">
        <v>50001</v>
      </c>
      <c r="C8" s="86">
        <v>70000</v>
      </c>
      <c r="D8" s="85">
        <v>50000</v>
      </c>
      <c r="E8" s="85">
        <v>0.14000000000000001</v>
      </c>
      <c r="F8" s="86">
        <v>1800</v>
      </c>
    </row>
    <row r="9" spans="2:6" ht="15.6" x14ac:dyDescent="0.3">
      <c r="B9" s="31">
        <v>70001</v>
      </c>
      <c r="C9" s="88">
        <v>100000</v>
      </c>
      <c r="D9" s="31">
        <v>70000</v>
      </c>
      <c r="E9" s="31">
        <v>0.21</v>
      </c>
      <c r="F9" s="88">
        <v>4600</v>
      </c>
    </row>
    <row r="10" spans="2:6" ht="15.6" x14ac:dyDescent="0.3">
      <c r="B10" s="85">
        <v>100001</v>
      </c>
      <c r="C10" s="86">
        <v>250000</v>
      </c>
      <c r="D10" s="85">
        <v>100000</v>
      </c>
      <c r="E10" s="85">
        <v>0.24</v>
      </c>
      <c r="F10" s="86">
        <v>10900</v>
      </c>
    </row>
    <row r="11" spans="2:6" ht="15.6" x14ac:dyDescent="0.3">
      <c r="B11" s="31">
        <v>250001</v>
      </c>
      <c r="C11" s="88">
        <v>400000</v>
      </c>
      <c r="D11" s="31">
        <v>250000</v>
      </c>
      <c r="E11" s="31">
        <v>0.245</v>
      </c>
      <c r="F11" s="88">
        <v>46900</v>
      </c>
    </row>
    <row r="12" spans="2:6" ht="15.6" x14ac:dyDescent="0.3">
      <c r="B12" s="85">
        <v>400001</v>
      </c>
      <c r="C12" s="86">
        <v>600000</v>
      </c>
      <c r="D12" s="85">
        <v>400000</v>
      </c>
      <c r="E12" s="85">
        <v>0.25</v>
      </c>
      <c r="F12" s="86">
        <v>83650</v>
      </c>
    </row>
    <row r="13" spans="2:6" ht="15.6" x14ac:dyDescent="0.3">
      <c r="B13" s="31">
        <v>600001</v>
      </c>
      <c r="C13" s="88">
        <v>1000000</v>
      </c>
      <c r="D13" s="31">
        <v>600000</v>
      </c>
      <c r="E13" s="31">
        <v>0.26</v>
      </c>
      <c r="F13" s="88">
        <v>133650</v>
      </c>
    </row>
    <row r="14" spans="2:6" ht="15.6" x14ac:dyDescent="0.3">
      <c r="B14" s="85">
        <v>1000001</v>
      </c>
      <c r="C14" s="86">
        <v>2000000</v>
      </c>
      <c r="D14" s="85">
        <v>1000000</v>
      </c>
      <c r="E14" s="85">
        <v>0.28000000000000003</v>
      </c>
      <c r="F14" s="86">
        <v>237650</v>
      </c>
    </row>
    <row r="15" spans="2:6" ht="15.6" x14ac:dyDescent="0.3">
      <c r="B15" s="32">
        <v>2000001</v>
      </c>
      <c r="C15" s="89" t="s">
        <v>282</v>
      </c>
      <c r="D15" s="32">
        <v>2000000</v>
      </c>
      <c r="E15" s="32">
        <v>0.3</v>
      </c>
      <c r="F15" s="89">
        <v>517650</v>
      </c>
    </row>
  </sheetData>
  <mergeCells count="4">
    <mergeCell ref="B2:C2"/>
    <mergeCell ref="D2:D3"/>
    <mergeCell ref="E2:E3"/>
    <mergeCell ref="F2:F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83620-06E1-456F-AA3A-A45FEA5135BD}">
  <sheetPr codeName="Sheet5"/>
  <dimension ref="A1:C362"/>
  <sheetViews>
    <sheetView zoomScale="90" zoomScaleNormal="90" workbookViewId="0">
      <selection activeCell="B38" sqref="B38"/>
    </sheetView>
  </sheetViews>
  <sheetFormatPr defaultRowHeight="15.6" x14ac:dyDescent="0.3"/>
  <cols>
    <col min="1" max="1" width="23.77734375" style="1" bestFit="1" customWidth="1"/>
    <col min="2" max="2" width="149.88671875" style="1" customWidth="1"/>
    <col min="3" max="3" width="56.5546875" style="1" bestFit="1" customWidth="1"/>
    <col min="4" max="4" width="8.88671875" style="1"/>
    <col min="5" max="5" width="8.6640625" style="1" bestFit="1" customWidth="1"/>
    <col min="6" max="16384" width="8.88671875" style="1"/>
  </cols>
  <sheetData>
    <row r="1" spans="1:3" x14ac:dyDescent="0.3">
      <c r="A1" s="5" t="s">
        <v>0</v>
      </c>
      <c r="C1" s="6"/>
    </row>
    <row r="2" spans="1:3" x14ac:dyDescent="0.3">
      <c r="C2" s="6"/>
    </row>
    <row r="3" spans="1:3" x14ac:dyDescent="0.3">
      <c r="A3" s="1" t="s">
        <v>1</v>
      </c>
      <c r="C3" s="6"/>
    </row>
    <row r="4" spans="1:3" x14ac:dyDescent="0.3">
      <c r="A4" s="20" t="s">
        <v>2</v>
      </c>
      <c r="B4" s="20" t="s">
        <v>3</v>
      </c>
      <c r="C4" s="20" t="s">
        <v>4</v>
      </c>
    </row>
    <row r="5" spans="1:3" x14ac:dyDescent="0.3">
      <c r="A5" s="11">
        <v>1</v>
      </c>
      <c r="B5" s="12" t="s">
        <v>5</v>
      </c>
      <c r="C5" s="13">
        <v>9000</v>
      </c>
    </row>
    <row r="6" spans="1:3" x14ac:dyDescent="0.3">
      <c r="A6" s="21">
        <v>2</v>
      </c>
      <c r="B6" s="24" t="s">
        <v>6</v>
      </c>
      <c r="C6" s="30" t="s">
        <v>11</v>
      </c>
    </row>
    <row r="7" spans="1:3" x14ac:dyDescent="0.3">
      <c r="A7" s="22"/>
      <c r="B7" s="25"/>
      <c r="C7" s="31"/>
    </row>
    <row r="8" spans="1:3" x14ac:dyDescent="0.3">
      <c r="A8" s="22"/>
      <c r="B8" s="25" t="s">
        <v>7</v>
      </c>
      <c r="C8" s="31" t="s">
        <v>12</v>
      </c>
    </row>
    <row r="9" spans="1:3" x14ac:dyDescent="0.3">
      <c r="A9" s="22"/>
      <c r="B9" s="25"/>
      <c r="C9" s="31"/>
    </row>
    <row r="10" spans="1:3" x14ac:dyDescent="0.3">
      <c r="A10" s="22"/>
      <c r="B10" s="25" t="s">
        <v>8</v>
      </c>
      <c r="C10" s="31" t="s">
        <v>13</v>
      </c>
    </row>
    <row r="11" spans="1:3" x14ac:dyDescent="0.3">
      <c r="A11" s="22"/>
      <c r="B11" s="25" t="s">
        <v>9</v>
      </c>
      <c r="C11" s="31"/>
    </row>
    <row r="12" spans="1:3" x14ac:dyDescent="0.3">
      <c r="A12" s="22"/>
      <c r="B12" s="25" t="s">
        <v>10</v>
      </c>
      <c r="C12" s="31"/>
    </row>
    <row r="13" spans="1:3" x14ac:dyDescent="0.3">
      <c r="A13" s="23"/>
      <c r="B13" s="26"/>
      <c r="C13" s="32"/>
    </row>
    <row r="14" spans="1:3" x14ac:dyDescent="0.3">
      <c r="A14" s="11">
        <v>3</v>
      </c>
      <c r="B14" s="12" t="s">
        <v>14</v>
      </c>
      <c r="C14" s="11" t="s">
        <v>15</v>
      </c>
    </row>
    <row r="15" spans="1:3" x14ac:dyDescent="0.3">
      <c r="A15" s="11">
        <v>4</v>
      </c>
      <c r="B15" s="12" t="s">
        <v>16</v>
      </c>
      <c r="C15" s="13">
        <v>6000</v>
      </c>
    </row>
    <row r="16" spans="1:3" x14ac:dyDescent="0.3">
      <c r="A16" s="21">
        <v>5</v>
      </c>
      <c r="B16" s="24" t="s">
        <v>17</v>
      </c>
      <c r="C16" s="21" t="s">
        <v>20</v>
      </c>
    </row>
    <row r="17" spans="1:3" x14ac:dyDescent="0.3">
      <c r="A17" s="22"/>
      <c r="B17" s="25"/>
      <c r="C17" s="22"/>
    </row>
    <row r="18" spans="1:3" x14ac:dyDescent="0.3">
      <c r="A18" s="22"/>
      <c r="B18" s="25" t="s">
        <v>18</v>
      </c>
      <c r="C18" s="22"/>
    </row>
    <row r="19" spans="1:3" x14ac:dyDescent="0.3">
      <c r="A19" s="23"/>
      <c r="B19" s="26" t="s">
        <v>19</v>
      </c>
      <c r="C19" s="22"/>
    </row>
    <row r="20" spans="1:3" x14ac:dyDescent="0.3">
      <c r="A20" s="11">
        <v>6</v>
      </c>
      <c r="B20" s="10" t="s">
        <v>21</v>
      </c>
      <c r="C20" s="21" t="s">
        <v>15</v>
      </c>
    </row>
    <row r="21" spans="1:3" x14ac:dyDescent="0.3">
      <c r="A21" s="11">
        <v>7</v>
      </c>
      <c r="B21" s="10" t="s">
        <v>22</v>
      </c>
      <c r="C21" s="22"/>
    </row>
    <row r="22" spans="1:3" x14ac:dyDescent="0.3">
      <c r="A22" s="11">
        <v>8</v>
      </c>
      <c r="B22" s="10" t="s">
        <v>23</v>
      </c>
      <c r="C22" s="23"/>
    </row>
    <row r="23" spans="1:3" x14ac:dyDescent="0.3">
      <c r="A23" s="21">
        <v>9</v>
      </c>
      <c r="B23" s="24" t="s">
        <v>24</v>
      </c>
      <c r="C23" s="22" t="s">
        <v>29</v>
      </c>
    </row>
    <row r="24" spans="1:3" x14ac:dyDescent="0.3">
      <c r="A24" s="22"/>
      <c r="B24" s="25"/>
      <c r="C24" s="22"/>
    </row>
    <row r="25" spans="1:3" x14ac:dyDescent="0.3">
      <c r="A25" s="22"/>
      <c r="B25" s="25" t="s">
        <v>25</v>
      </c>
      <c r="C25" s="22"/>
    </row>
    <row r="26" spans="1:3" x14ac:dyDescent="0.3">
      <c r="A26" s="22"/>
      <c r="B26" s="25" t="s">
        <v>26</v>
      </c>
      <c r="C26" s="22"/>
    </row>
    <row r="27" spans="1:3" x14ac:dyDescent="0.3">
      <c r="A27" s="22"/>
      <c r="B27" s="25" t="s">
        <v>27</v>
      </c>
      <c r="C27" s="22"/>
    </row>
    <row r="28" spans="1:3" x14ac:dyDescent="0.3">
      <c r="A28" s="23"/>
      <c r="B28" s="26" t="s">
        <v>28</v>
      </c>
      <c r="C28" s="23"/>
    </row>
    <row r="29" spans="1:3" x14ac:dyDescent="0.3">
      <c r="A29" s="21">
        <v>10</v>
      </c>
      <c r="B29" s="24" t="s">
        <v>30</v>
      </c>
      <c r="C29" s="21" t="s">
        <v>29</v>
      </c>
    </row>
    <row r="30" spans="1:3" x14ac:dyDescent="0.3">
      <c r="A30" s="22"/>
      <c r="B30" s="25"/>
      <c r="C30" s="22"/>
    </row>
    <row r="31" spans="1:3" x14ac:dyDescent="0.3">
      <c r="A31" s="23"/>
      <c r="B31" s="26" t="s">
        <v>31</v>
      </c>
      <c r="C31" s="23"/>
    </row>
    <row r="32" spans="1:3" x14ac:dyDescent="0.3">
      <c r="A32" s="11">
        <v>11</v>
      </c>
      <c r="B32" s="12" t="s">
        <v>32</v>
      </c>
      <c r="C32" s="11" t="s">
        <v>33</v>
      </c>
    </row>
    <row r="33" spans="1:3" x14ac:dyDescent="0.3">
      <c r="A33" s="11">
        <v>12</v>
      </c>
      <c r="B33" s="12" t="s">
        <v>34</v>
      </c>
      <c r="C33" s="11" t="s">
        <v>35</v>
      </c>
    </row>
    <row r="34" spans="1:3" x14ac:dyDescent="0.3">
      <c r="A34" s="21">
        <v>13</v>
      </c>
      <c r="B34" s="24" t="s">
        <v>36</v>
      </c>
      <c r="C34" s="21" t="s">
        <v>37</v>
      </c>
    </row>
    <row r="35" spans="1:3" x14ac:dyDescent="0.3">
      <c r="A35" s="23"/>
      <c r="B35" s="26"/>
      <c r="C35" s="23"/>
    </row>
    <row r="36" spans="1:3" x14ac:dyDescent="0.3">
      <c r="A36" s="11">
        <v>14</v>
      </c>
      <c r="B36" s="12" t="s">
        <v>38</v>
      </c>
      <c r="C36" s="11" t="s">
        <v>39</v>
      </c>
    </row>
    <row r="37" spans="1:3" x14ac:dyDescent="0.3">
      <c r="A37" s="11">
        <v>15</v>
      </c>
      <c r="B37" s="12" t="s">
        <v>40</v>
      </c>
      <c r="C37" s="13">
        <v>3500</v>
      </c>
    </row>
    <row r="38" spans="1:3" x14ac:dyDescent="0.3">
      <c r="A38" s="11">
        <v>16</v>
      </c>
      <c r="B38" s="12" t="s">
        <v>41</v>
      </c>
      <c r="C38" s="13">
        <v>2000</v>
      </c>
    </row>
    <row r="39" spans="1:3" x14ac:dyDescent="0.3">
      <c r="A39" s="11">
        <v>17</v>
      </c>
      <c r="B39" s="12" t="s">
        <v>42</v>
      </c>
      <c r="C39" s="13">
        <v>2000</v>
      </c>
    </row>
    <row r="40" spans="1:3" x14ac:dyDescent="0.3">
      <c r="A40" s="21">
        <v>18</v>
      </c>
      <c r="B40" s="24" t="s">
        <v>43</v>
      </c>
      <c r="C40" s="21"/>
    </row>
    <row r="41" spans="1:3" x14ac:dyDescent="0.3">
      <c r="A41" s="22"/>
      <c r="B41" s="25"/>
      <c r="C41" s="27">
        <v>8000</v>
      </c>
    </row>
    <row r="42" spans="1:3" x14ac:dyDescent="0.3">
      <c r="A42" s="22"/>
      <c r="B42" s="25" t="s">
        <v>44</v>
      </c>
      <c r="C42" s="22"/>
    </row>
    <row r="43" spans="1:3" x14ac:dyDescent="0.3">
      <c r="A43" s="22"/>
      <c r="B43" s="25" t="s">
        <v>45</v>
      </c>
      <c r="C43" s="22"/>
    </row>
    <row r="44" spans="1:3" x14ac:dyDescent="0.3">
      <c r="A44" s="23"/>
      <c r="B44" s="26" t="s">
        <v>46</v>
      </c>
      <c r="C44" s="23"/>
    </row>
    <row r="45" spans="1:3" x14ac:dyDescent="0.3">
      <c r="A45" s="21">
        <v>19</v>
      </c>
      <c r="B45" s="24" t="s">
        <v>47</v>
      </c>
      <c r="C45" s="28">
        <v>6000</v>
      </c>
    </row>
    <row r="46" spans="1:3" x14ac:dyDescent="0.3">
      <c r="A46" s="22"/>
      <c r="B46" s="25"/>
      <c r="C46" s="22"/>
    </row>
    <row r="47" spans="1:3" x14ac:dyDescent="0.3">
      <c r="A47" s="23"/>
      <c r="B47" s="26" t="s">
        <v>48</v>
      </c>
      <c r="C47" s="29">
        <v>8000</v>
      </c>
    </row>
    <row r="48" spans="1:3" x14ac:dyDescent="0.3">
      <c r="A48" s="21">
        <v>20</v>
      </c>
      <c r="B48" s="24" t="s">
        <v>49</v>
      </c>
      <c r="C48" s="21" t="s">
        <v>20</v>
      </c>
    </row>
    <row r="49" spans="1:3" x14ac:dyDescent="0.3">
      <c r="A49" s="22"/>
      <c r="B49" s="25"/>
      <c r="C49" s="22"/>
    </row>
    <row r="50" spans="1:3" x14ac:dyDescent="0.3">
      <c r="A50" s="22"/>
      <c r="B50" s="25" t="s">
        <v>50</v>
      </c>
      <c r="C50" s="22"/>
    </row>
    <row r="51" spans="1:3" x14ac:dyDescent="0.3">
      <c r="A51" s="22"/>
      <c r="B51" s="25" t="s">
        <v>51</v>
      </c>
      <c r="C51" s="22"/>
    </row>
    <row r="52" spans="1:3" x14ac:dyDescent="0.3">
      <c r="A52" s="22"/>
      <c r="B52" s="25" t="s">
        <v>52</v>
      </c>
      <c r="C52" s="22"/>
    </row>
    <row r="53" spans="1:3" x14ac:dyDescent="0.3">
      <c r="A53" s="22"/>
      <c r="B53" s="25" t="s">
        <v>53</v>
      </c>
      <c r="C53" s="22"/>
    </row>
    <row r="54" spans="1:3" x14ac:dyDescent="0.3">
      <c r="A54" s="23"/>
      <c r="B54" s="26" t="s">
        <v>54</v>
      </c>
      <c r="C54" s="23"/>
    </row>
    <row r="55" spans="1:3" x14ac:dyDescent="0.3">
      <c r="A55" s="11">
        <v>21</v>
      </c>
      <c r="B55" s="12" t="s">
        <v>55</v>
      </c>
      <c r="C55" s="11" t="s">
        <v>35</v>
      </c>
    </row>
    <row r="56" spans="1:3" x14ac:dyDescent="0.3">
      <c r="A56" s="11">
        <v>22</v>
      </c>
      <c r="B56" s="12" t="s">
        <v>56</v>
      </c>
      <c r="C56" s="11" t="s">
        <v>35</v>
      </c>
    </row>
    <row r="57" spans="1:3" x14ac:dyDescent="0.3">
      <c r="A57" s="11">
        <v>23</v>
      </c>
      <c r="B57" s="12" t="s">
        <v>57</v>
      </c>
      <c r="C57" s="11" t="s">
        <v>58</v>
      </c>
    </row>
    <row r="58" spans="1:3" x14ac:dyDescent="0.3">
      <c r="A58" s="21">
        <v>24</v>
      </c>
      <c r="B58" s="24" t="s">
        <v>59</v>
      </c>
      <c r="C58" s="21" t="s">
        <v>33</v>
      </c>
    </row>
    <row r="59" spans="1:3" x14ac:dyDescent="0.3">
      <c r="A59" s="22"/>
      <c r="B59" s="25"/>
      <c r="C59" s="22"/>
    </row>
    <row r="60" spans="1:3" x14ac:dyDescent="0.3">
      <c r="A60" s="22"/>
      <c r="B60" s="25" t="s">
        <v>60</v>
      </c>
      <c r="C60" s="22"/>
    </row>
    <row r="61" spans="1:3" x14ac:dyDescent="0.3">
      <c r="A61" s="22"/>
      <c r="B61" s="25"/>
      <c r="C61" s="22"/>
    </row>
    <row r="62" spans="1:3" x14ac:dyDescent="0.3">
      <c r="A62" s="23"/>
      <c r="B62" s="26" t="s">
        <v>61</v>
      </c>
      <c r="C62" s="23"/>
    </row>
    <row r="63" spans="1:3" hidden="1" x14ac:dyDescent="0.3">
      <c r="A63" s="1" t="s">
        <v>62</v>
      </c>
      <c r="C63" s="3"/>
    </row>
    <row r="64" spans="1:3" hidden="1" x14ac:dyDescent="0.3">
      <c r="C64" s="3"/>
    </row>
    <row r="65" spans="1:3" hidden="1" x14ac:dyDescent="0.3">
      <c r="A65" s="1" t="s">
        <v>2</v>
      </c>
      <c r="B65" s="1" t="s">
        <v>3</v>
      </c>
      <c r="C65" s="3" t="s">
        <v>4</v>
      </c>
    </row>
    <row r="66" spans="1:3" hidden="1" x14ac:dyDescent="0.3">
      <c r="A66" s="1">
        <v>1</v>
      </c>
      <c r="B66" s="1" t="s">
        <v>5</v>
      </c>
      <c r="C66" s="4">
        <v>9000</v>
      </c>
    </row>
    <row r="67" spans="1:3" hidden="1" x14ac:dyDescent="0.3">
      <c r="A67" s="1">
        <v>2</v>
      </c>
      <c r="B67" s="1" t="s">
        <v>6</v>
      </c>
      <c r="C67" s="3" t="s">
        <v>11</v>
      </c>
    </row>
    <row r="68" spans="1:3" hidden="1" x14ac:dyDescent="0.3">
      <c r="C68" s="3"/>
    </row>
    <row r="69" spans="1:3" hidden="1" x14ac:dyDescent="0.3">
      <c r="B69" s="1" t="s">
        <v>7</v>
      </c>
      <c r="C69" s="3" t="s">
        <v>12</v>
      </c>
    </row>
    <row r="70" spans="1:3" hidden="1" x14ac:dyDescent="0.3">
      <c r="C70" s="3"/>
    </row>
    <row r="71" spans="1:3" hidden="1" x14ac:dyDescent="0.3">
      <c r="B71" s="1" t="s">
        <v>8</v>
      </c>
      <c r="C71" s="3" t="s">
        <v>13</v>
      </c>
    </row>
    <row r="72" spans="1:3" hidden="1" x14ac:dyDescent="0.3">
      <c r="B72" s="1" t="s">
        <v>9</v>
      </c>
      <c r="C72" s="3"/>
    </row>
    <row r="73" spans="1:3" hidden="1" x14ac:dyDescent="0.3">
      <c r="B73" s="1" t="s">
        <v>10</v>
      </c>
      <c r="C73" s="3"/>
    </row>
    <row r="74" spans="1:3" hidden="1" x14ac:dyDescent="0.3">
      <c r="C74" s="3"/>
    </row>
    <row r="75" spans="1:3" hidden="1" x14ac:dyDescent="0.3">
      <c r="A75" s="1">
        <v>3</v>
      </c>
      <c r="B75" s="1" t="s">
        <v>14</v>
      </c>
      <c r="C75" s="3" t="s">
        <v>15</v>
      </c>
    </row>
    <row r="76" spans="1:3" hidden="1" x14ac:dyDescent="0.3">
      <c r="A76" s="1">
        <v>4</v>
      </c>
      <c r="B76" s="1" t="s">
        <v>16</v>
      </c>
      <c r="C76" s="4">
        <v>6000</v>
      </c>
    </row>
    <row r="77" spans="1:3" hidden="1" x14ac:dyDescent="0.3">
      <c r="A77" s="1">
        <v>5</v>
      </c>
      <c r="B77" s="1" t="s">
        <v>17</v>
      </c>
      <c r="C77" s="3" t="s">
        <v>20</v>
      </c>
    </row>
    <row r="78" spans="1:3" hidden="1" x14ac:dyDescent="0.3">
      <c r="C78" s="3"/>
    </row>
    <row r="79" spans="1:3" hidden="1" x14ac:dyDescent="0.3">
      <c r="B79" s="1" t="s">
        <v>18</v>
      </c>
      <c r="C79" s="3"/>
    </row>
    <row r="80" spans="1:3" hidden="1" x14ac:dyDescent="0.3">
      <c r="B80" s="1" t="s">
        <v>19</v>
      </c>
      <c r="C80" s="3"/>
    </row>
    <row r="81" spans="1:3" hidden="1" x14ac:dyDescent="0.3">
      <c r="A81" s="1">
        <v>6</v>
      </c>
      <c r="B81" s="1" t="s">
        <v>21</v>
      </c>
      <c r="C81" s="3" t="s">
        <v>15</v>
      </c>
    </row>
    <row r="82" spans="1:3" hidden="1" x14ac:dyDescent="0.3">
      <c r="A82" s="1">
        <v>7</v>
      </c>
      <c r="B82" s="1" t="s">
        <v>23</v>
      </c>
      <c r="C82" s="3"/>
    </row>
    <row r="83" spans="1:3" hidden="1" x14ac:dyDescent="0.3">
      <c r="A83" s="1">
        <v>8</v>
      </c>
      <c r="B83" s="1" t="s">
        <v>24</v>
      </c>
      <c r="C83" s="3" t="s">
        <v>29</v>
      </c>
    </row>
    <row r="84" spans="1:3" hidden="1" x14ac:dyDescent="0.3">
      <c r="C84" s="3"/>
    </row>
    <row r="85" spans="1:3" hidden="1" x14ac:dyDescent="0.3">
      <c r="B85" s="1" t="s">
        <v>25</v>
      </c>
      <c r="C85" s="3"/>
    </row>
    <row r="86" spans="1:3" hidden="1" x14ac:dyDescent="0.3">
      <c r="B86" s="1" t="s">
        <v>26</v>
      </c>
      <c r="C86" s="3"/>
    </row>
    <row r="87" spans="1:3" hidden="1" x14ac:dyDescent="0.3">
      <c r="B87" s="1" t="s">
        <v>27</v>
      </c>
      <c r="C87" s="3"/>
    </row>
    <row r="88" spans="1:3" hidden="1" x14ac:dyDescent="0.3">
      <c r="B88" s="1" t="s">
        <v>28</v>
      </c>
      <c r="C88" s="3"/>
    </row>
    <row r="89" spans="1:3" hidden="1" x14ac:dyDescent="0.3">
      <c r="A89" s="1">
        <v>9</v>
      </c>
      <c r="B89" s="1" t="s">
        <v>32</v>
      </c>
      <c r="C89" s="3" t="s">
        <v>33</v>
      </c>
    </row>
    <row r="90" spans="1:3" hidden="1" x14ac:dyDescent="0.3">
      <c r="A90" s="1">
        <v>10</v>
      </c>
      <c r="B90" s="1" t="s">
        <v>34</v>
      </c>
      <c r="C90" s="3" t="s">
        <v>63</v>
      </c>
    </row>
    <row r="91" spans="1:3" hidden="1" x14ac:dyDescent="0.3">
      <c r="A91" s="1">
        <v>11</v>
      </c>
      <c r="B91" s="1" t="s">
        <v>64</v>
      </c>
      <c r="C91" s="3" t="s">
        <v>37</v>
      </c>
    </row>
    <row r="92" spans="1:3" hidden="1" x14ac:dyDescent="0.3">
      <c r="C92" s="3"/>
    </row>
    <row r="93" spans="1:3" hidden="1" x14ac:dyDescent="0.3">
      <c r="A93" s="1">
        <v>12</v>
      </c>
      <c r="B93" s="1" t="s">
        <v>38</v>
      </c>
      <c r="C93" s="3" t="s">
        <v>39</v>
      </c>
    </row>
    <row r="94" spans="1:3" hidden="1" x14ac:dyDescent="0.3">
      <c r="A94" s="1">
        <v>13</v>
      </c>
      <c r="B94" s="1" t="s">
        <v>40</v>
      </c>
      <c r="C94" s="4">
        <v>3500</v>
      </c>
    </row>
    <row r="95" spans="1:3" hidden="1" x14ac:dyDescent="0.3">
      <c r="A95" s="1">
        <v>14</v>
      </c>
      <c r="B95" s="1" t="s">
        <v>41</v>
      </c>
      <c r="C95" s="4">
        <v>2000</v>
      </c>
    </row>
    <row r="96" spans="1:3" hidden="1" x14ac:dyDescent="0.3">
      <c r="A96" s="1">
        <v>15</v>
      </c>
      <c r="B96" s="1" t="s">
        <v>42</v>
      </c>
      <c r="C96" s="4">
        <v>2000</v>
      </c>
    </row>
    <row r="97" spans="1:3" hidden="1" x14ac:dyDescent="0.3">
      <c r="A97" s="1">
        <v>16</v>
      </c>
      <c r="B97" s="1" t="s">
        <v>43</v>
      </c>
      <c r="C97" s="3"/>
    </row>
    <row r="98" spans="1:3" hidden="1" x14ac:dyDescent="0.3">
      <c r="C98" s="4">
        <v>8000</v>
      </c>
    </row>
    <row r="99" spans="1:3" hidden="1" x14ac:dyDescent="0.3">
      <c r="B99" s="1" t="s">
        <v>44</v>
      </c>
      <c r="C99" s="3"/>
    </row>
    <row r="100" spans="1:3" hidden="1" x14ac:dyDescent="0.3">
      <c r="B100" s="1" t="s">
        <v>45</v>
      </c>
      <c r="C100" s="3"/>
    </row>
    <row r="101" spans="1:3" hidden="1" x14ac:dyDescent="0.3">
      <c r="B101" s="1" t="s">
        <v>46</v>
      </c>
      <c r="C101" s="3"/>
    </row>
    <row r="102" spans="1:3" hidden="1" x14ac:dyDescent="0.3">
      <c r="A102" s="1">
        <v>17</v>
      </c>
      <c r="B102" s="1" t="s">
        <v>47</v>
      </c>
      <c r="C102" s="4">
        <v>6000</v>
      </c>
    </row>
    <row r="103" spans="1:3" hidden="1" x14ac:dyDescent="0.3">
      <c r="C103" s="3"/>
    </row>
    <row r="104" spans="1:3" hidden="1" x14ac:dyDescent="0.3">
      <c r="B104" s="1" t="s">
        <v>48</v>
      </c>
      <c r="C104" s="4">
        <v>8000</v>
      </c>
    </row>
    <row r="105" spans="1:3" hidden="1" x14ac:dyDescent="0.3">
      <c r="A105" s="1">
        <v>18</v>
      </c>
      <c r="B105" s="1" t="s">
        <v>49</v>
      </c>
      <c r="C105" s="3" t="s">
        <v>20</v>
      </c>
    </row>
    <row r="106" spans="1:3" hidden="1" x14ac:dyDescent="0.3">
      <c r="C106" s="3"/>
    </row>
    <row r="107" spans="1:3" hidden="1" x14ac:dyDescent="0.3">
      <c r="B107" s="1" t="s">
        <v>50</v>
      </c>
      <c r="C107" s="3"/>
    </row>
    <row r="108" spans="1:3" hidden="1" x14ac:dyDescent="0.3">
      <c r="B108" s="1" t="s">
        <v>51</v>
      </c>
      <c r="C108" s="3"/>
    </row>
    <row r="109" spans="1:3" hidden="1" x14ac:dyDescent="0.3">
      <c r="B109" s="1" t="s">
        <v>52</v>
      </c>
      <c r="C109" s="3"/>
    </row>
    <row r="110" spans="1:3" hidden="1" x14ac:dyDescent="0.3">
      <c r="B110" s="1" t="s">
        <v>53</v>
      </c>
      <c r="C110" s="3"/>
    </row>
    <row r="111" spans="1:3" hidden="1" x14ac:dyDescent="0.3">
      <c r="B111" s="1" t="s">
        <v>54</v>
      </c>
      <c r="C111" s="3"/>
    </row>
    <row r="112" spans="1:3" hidden="1" x14ac:dyDescent="0.3">
      <c r="A112" s="1">
        <v>19</v>
      </c>
      <c r="B112" s="1" t="s">
        <v>55</v>
      </c>
      <c r="C112" s="3" t="s">
        <v>35</v>
      </c>
    </row>
    <row r="113" spans="1:3" hidden="1" x14ac:dyDescent="0.3">
      <c r="A113" s="1">
        <v>20</v>
      </c>
      <c r="B113" s="1" t="s">
        <v>56</v>
      </c>
      <c r="C113" s="3" t="s">
        <v>35</v>
      </c>
    </row>
    <row r="114" spans="1:3" hidden="1" x14ac:dyDescent="0.3">
      <c r="A114" s="1">
        <v>21</v>
      </c>
      <c r="B114" s="1" t="s">
        <v>57</v>
      </c>
      <c r="C114" s="3" t="s">
        <v>58</v>
      </c>
    </row>
    <row r="115" spans="1:3" hidden="1" x14ac:dyDescent="0.3">
      <c r="C115" s="3"/>
    </row>
    <row r="116" spans="1:3" hidden="1" x14ac:dyDescent="0.3">
      <c r="A116" s="1" t="s">
        <v>65</v>
      </c>
      <c r="C116" s="3"/>
    </row>
    <row r="117" spans="1:3" hidden="1" x14ac:dyDescent="0.3">
      <c r="C117" s="3"/>
    </row>
    <row r="118" spans="1:3" hidden="1" x14ac:dyDescent="0.3">
      <c r="A118" s="1" t="s">
        <v>2</v>
      </c>
      <c r="B118" s="1" t="s">
        <v>3</v>
      </c>
      <c r="C118" s="3" t="s">
        <v>4</v>
      </c>
    </row>
    <row r="119" spans="1:3" hidden="1" x14ac:dyDescent="0.3">
      <c r="A119" s="1">
        <v>1</v>
      </c>
      <c r="B119" s="1" t="s">
        <v>66</v>
      </c>
      <c r="C119" s="4">
        <v>9000</v>
      </c>
    </row>
    <row r="120" spans="1:3" hidden="1" x14ac:dyDescent="0.3">
      <c r="A120" s="1">
        <v>2</v>
      </c>
      <c r="B120" s="1" t="s">
        <v>67</v>
      </c>
      <c r="C120" s="3" t="s">
        <v>70</v>
      </c>
    </row>
    <row r="121" spans="1:3" hidden="1" x14ac:dyDescent="0.3">
      <c r="C121" s="3"/>
    </row>
    <row r="122" spans="1:3" hidden="1" x14ac:dyDescent="0.3">
      <c r="B122" s="1" t="s">
        <v>7</v>
      </c>
      <c r="C122" s="3" t="s">
        <v>12</v>
      </c>
    </row>
    <row r="123" spans="1:3" hidden="1" x14ac:dyDescent="0.3">
      <c r="C123" s="3"/>
    </row>
    <row r="124" spans="1:3" hidden="1" x14ac:dyDescent="0.3">
      <c r="B124" s="1" t="s">
        <v>8</v>
      </c>
      <c r="C124" s="3" t="s">
        <v>71</v>
      </c>
    </row>
    <row r="125" spans="1:3" hidden="1" x14ac:dyDescent="0.3">
      <c r="B125" s="1" t="s">
        <v>68</v>
      </c>
      <c r="C125" s="3"/>
    </row>
    <row r="126" spans="1:3" hidden="1" x14ac:dyDescent="0.3">
      <c r="B126" s="1" t="s">
        <v>69</v>
      </c>
      <c r="C126" s="3"/>
    </row>
    <row r="127" spans="1:3" hidden="1" x14ac:dyDescent="0.3">
      <c r="C127" s="3"/>
    </row>
    <row r="128" spans="1:3" hidden="1" x14ac:dyDescent="0.3">
      <c r="A128" s="1">
        <v>3</v>
      </c>
      <c r="B128" s="1" t="s">
        <v>14</v>
      </c>
      <c r="C128" s="3" t="s">
        <v>72</v>
      </c>
    </row>
    <row r="129" spans="1:3" hidden="1" x14ac:dyDescent="0.3">
      <c r="A129" s="1">
        <v>4</v>
      </c>
      <c r="B129" s="1" t="s">
        <v>73</v>
      </c>
      <c r="C129" s="4">
        <v>6000</v>
      </c>
    </row>
    <row r="130" spans="1:3" hidden="1" x14ac:dyDescent="0.3">
      <c r="A130" s="1">
        <v>5</v>
      </c>
      <c r="B130" s="1" t="s">
        <v>74</v>
      </c>
      <c r="C130" s="3" t="s">
        <v>77</v>
      </c>
    </row>
    <row r="131" spans="1:3" hidden="1" x14ac:dyDescent="0.3">
      <c r="B131" s="1" t="s">
        <v>75</v>
      </c>
      <c r="C131" s="3"/>
    </row>
    <row r="132" spans="1:3" hidden="1" x14ac:dyDescent="0.3">
      <c r="B132" s="1" t="s">
        <v>76</v>
      </c>
      <c r="C132" s="3"/>
    </row>
    <row r="133" spans="1:3" hidden="1" x14ac:dyDescent="0.3">
      <c r="A133" s="1">
        <v>6</v>
      </c>
      <c r="B133" s="1" t="s">
        <v>21</v>
      </c>
      <c r="C133" s="3" t="s">
        <v>72</v>
      </c>
    </row>
    <row r="134" spans="1:3" hidden="1" x14ac:dyDescent="0.3">
      <c r="A134" s="1">
        <v>7</v>
      </c>
      <c r="B134" s="1" t="s">
        <v>78</v>
      </c>
      <c r="C134" s="3"/>
    </row>
    <row r="135" spans="1:3" hidden="1" x14ac:dyDescent="0.3">
      <c r="A135" s="1">
        <v>8</v>
      </c>
      <c r="B135" s="1" t="s">
        <v>79</v>
      </c>
      <c r="C135" s="3" t="s">
        <v>84</v>
      </c>
    </row>
    <row r="136" spans="1:3" hidden="1" x14ac:dyDescent="0.3">
      <c r="B136" s="1" t="s">
        <v>80</v>
      </c>
      <c r="C136" s="3"/>
    </row>
    <row r="137" spans="1:3" hidden="1" x14ac:dyDescent="0.3">
      <c r="B137" s="1" t="s">
        <v>81</v>
      </c>
      <c r="C137" s="3"/>
    </row>
    <row r="138" spans="1:3" hidden="1" x14ac:dyDescent="0.3">
      <c r="B138" s="1" t="s">
        <v>82</v>
      </c>
      <c r="C138" s="3"/>
    </row>
    <row r="139" spans="1:3" hidden="1" x14ac:dyDescent="0.3">
      <c r="B139" s="1" t="s">
        <v>83</v>
      </c>
      <c r="C139" s="3"/>
    </row>
    <row r="140" spans="1:3" hidden="1" x14ac:dyDescent="0.3">
      <c r="A140" s="1">
        <v>9</v>
      </c>
      <c r="B140" s="1" t="s">
        <v>85</v>
      </c>
      <c r="C140" s="3" t="s">
        <v>86</v>
      </c>
    </row>
    <row r="141" spans="1:3" hidden="1" x14ac:dyDescent="0.3">
      <c r="A141" s="1">
        <v>10</v>
      </c>
      <c r="B141" s="1" t="s">
        <v>87</v>
      </c>
      <c r="C141" s="3" t="s">
        <v>72</v>
      </c>
    </row>
    <row r="142" spans="1:3" hidden="1" x14ac:dyDescent="0.3">
      <c r="C142" s="3"/>
    </row>
    <row r="143" spans="1:3" hidden="1" x14ac:dyDescent="0.3">
      <c r="A143" s="1">
        <v>11</v>
      </c>
      <c r="B143" s="1" t="s">
        <v>88</v>
      </c>
      <c r="C143" s="3" t="s">
        <v>89</v>
      </c>
    </row>
    <row r="144" spans="1:3" hidden="1" x14ac:dyDescent="0.3">
      <c r="A144" s="1">
        <v>12</v>
      </c>
      <c r="B144" s="1" t="s">
        <v>90</v>
      </c>
      <c r="C144" s="3" t="s">
        <v>91</v>
      </c>
    </row>
    <row r="145" spans="1:3" hidden="1" x14ac:dyDescent="0.3">
      <c r="A145" s="1">
        <v>13</v>
      </c>
      <c r="B145" s="1" t="s">
        <v>92</v>
      </c>
      <c r="C145" s="4">
        <v>3500</v>
      </c>
    </row>
    <row r="146" spans="1:3" hidden="1" x14ac:dyDescent="0.3">
      <c r="A146" s="1">
        <v>14</v>
      </c>
      <c r="B146" s="1" t="s">
        <v>93</v>
      </c>
      <c r="C146" s="4">
        <v>2000</v>
      </c>
    </row>
    <row r="147" spans="1:3" hidden="1" x14ac:dyDescent="0.3">
      <c r="A147" s="1">
        <v>15</v>
      </c>
      <c r="B147" s="1" t="s">
        <v>42</v>
      </c>
      <c r="C147" s="4">
        <v>2000</v>
      </c>
    </row>
    <row r="148" spans="1:3" hidden="1" x14ac:dyDescent="0.3">
      <c r="A148" s="1">
        <v>16</v>
      </c>
      <c r="B148" s="1" t="s">
        <v>43</v>
      </c>
      <c r="C148" s="3"/>
    </row>
    <row r="149" spans="1:3" hidden="1" x14ac:dyDescent="0.3">
      <c r="B149" s="1" t="s">
        <v>94</v>
      </c>
      <c r="C149" s="4">
        <v>8000</v>
      </c>
    </row>
    <row r="150" spans="1:3" hidden="1" x14ac:dyDescent="0.3">
      <c r="B150" s="1" t="s">
        <v>95</v>
      </c>
      <c r="C150" s="3"/>
    </row>
    <row r="151" spans="1:3" hidden="1" x14ac:dyDescent="0.3">
      <c r="B151" s="1" t="s">
        <v>96</v>
      </c>
      <c r="C151" s="3"/>
    </row>
    <row r="152" spans="1:3" hidden="1" x14ac:dyDescent="0.3">
      <c r="A152" s="1">
        <v>17</v>
      </c>
      <c r="B152" s="1" t="s">
        <v>47</v>
      </c>
      <c r="C152" s="4">
        <v>6000</v>
      </c>
    </row>
    <row r="153" spans="1:3" hidden="1" x14ac:dyDescent="0.3">
      <c r="B153" s="1" t="s">
        <v>48</v>
      </c>
      <c r="C153" s="3"/>
    </row>
    <row r="154" spans="1:3" hidden="1" x14ac:dyDescent="0.3">
      <c r="A154" s="1">
        <v>18</v>
      </c>
      <c r="B154" s="1" t="s">
        <v>97</v>
      </c>
      <c r="C154" s="3" t="s">
        <v>72</v>
      </c>
    </row>
    <row r="155" spans="1:3" hidden="1" x14ac:dyDescent="0.3">
      <c r="A155" s="1">
        <v>19</v>
      </c>
      <c r="B155" s="1" t="s">
        <v>55</v>
      </c>
      <c r="C155" s="3" t="s">
        <v>98</v>
      </c>
    </row>
    <row r="156" spans="1:3" hidden="1" x14ac:dyDescent="0.3">
      <c r="A156" s="1">
        <v>20</v>
      </c>
      <c r="B156" s="1" t="s">
        <v>99</v>
      </c>
      <c r="C156" s="3" t="s">
        <v>98</v>
      </c>
    </row>
    <row r="157" spans="1:3" hidden="1" x14ac:dyDescent="0.3">
      <c r="A157" s="1">
        <v>21</v>
      </c>
      <c r="B157" s="1" t="s">
        <v>57</v>
      </c>
      <c r="C157" s="3" t="s">
        <v>100</v>
      </c>
    </row>
    <row r="158" spans="1:3" hidden="1" x14ac:dyDescent="0.3">
      <c r="C158" s="3"/>
    </row>
    <row r="159" spans="1:3" hidden="1" x14ac:dyDescent="0.3">
      <c r="C159" s="3"/>
    </row>
    <row r="160" spans="1:3" hidden="1" x14ac:dyDescent="0.3">
      <c r="A160" s="1" t="s">
        <v>101</v>
      </c>
      <c r="C160" s="3"/>
    </row>
    <row r="161" spans="1:3" hidden="1" x14ac:dyDescent="0.3">
      <c r="C161" s="3"/>
    </row>
    <row r="162" spans="1:3" hidden="1" x14ac:dyDescent="0.3">
      <c r="A162" s="1" t="s">
        <v>2</v>
      </c>
      <c r="B162" s="1" t="s">
        <v>3</v>
      </c>
      <c r="C162" s="3" t="s">
        <v>4</v>
      </c>
    </row>
    <row r="163" spans="1:3" hidden="1" x14ac:dyDescent="0.3">
      <c r="A163" s="1">
        <v>1</v>
      </c>
      <c r="B163" s="1" t="s">
        <v>66</v>
      </c>
      <c r="C163" s="4">
        <v>9000</v>
      </c>
    </row>
    <row r="164" spans="1:3" hidden="1" x14ac:dyDescent="0.3">
      <c r="A164" s="1">
        <v>2</v>
      </c>
      <c r="B164" s="1" t="s">
        <v>67</v>
      </c>
      <c r="C164" s="3" t="s">
        <v>70</v>
      </c>
    </row>
    <row r="165" spans="1:3" hidden="1" x14ac:dyDescent="0.3">
      <c r="C165" s="3"/>
    </row>
    <row r="166" spans="1:3" hidden="1" x14ac:dyDescent="0.3">
      <c r="B166" s="1" t="s">
        <v>7</v>
      </c>
      <c r="C166" s="3" t="s">
        <v>12</v>
      </c>
    </row>
    <row r="167" spans="1:3" hidden="1" x14ac:dyDescent="0.3">
      <c r="C167" s="3"/>
    </row>
    <row r="168" spans="1:3" hidden="1" x14ac:dyDescent="0.3">
      <c r="B168" s="1" t="s">
        <v>8</v>
      </c>
      <c r="C168" s="3" t="s">
        <v>71</v>
      </c>
    </row>
    <row r="169" spans="1:3" hidden="1" x14ac:dyDescent="0.3">
      <c r="B169" s="1" t="s">
        <v>68</v>
      </c>
      <c r="C169" s="3"/>
    </row>
    <row r="170" spans="1:3" hidden="1" x14ac:dyDescent="0.3">
      <c r="B170" s="1" t="s">
        <v>69</v>
      </c>
      <c r="C170" s="3"/>
    </row>
    <row r="171" spans="1:3" hidden="1" x14ac:dyDescent="0.3">
      <c r="C171" s="3"/>
    </row>
    <row r="172" spans="1:3" hidden="1" x14ac:dyDescent="0.3">
      <c r="A172" s="1">
        <v>3</v>
      </c>
      <c r="B172" s="1" t="s">
        <v>14</v>
      </c>
      <c r="C172" s="3" t="s">
        <v>72</v>
      </c>
    </row>
    <row r="173" spans="1:3" hidden="1" x14ac:dyDescent="0.3">
      <c r="A173" s="1">
        <v>4</v>
      </c>
      <c r="B173" s="1" t="s">
        <v>73</v>
      </c>
      <c r="C173" s="4">
        <v>6000</v>
      </c>
    </row>
    <row r="174" spans="1:3" hidden="1" x14ac:dyDescent="0.3">
      <c r="A174" s="1">
        <v>5</v>
      </c>
      <c r="B174" s="1" t="s">
        <v>74</v>
      </c>
      <c r="C174" s="3" t="s">
        <v>77</v>
      </c>
    </row>
    <row r="175" spans="1:3" hidden="1" x14ac:dyDescent="0.3">
      <c r="B175" s="1" t="s">
        <v>75</v>
      </c>
      <c r="C175" s="3"/>
    </row>
    <row r="176" spans="1:3" hidden="1" x14ac:dyDescent="0.3">
      <c r="B176" s="1" t="s">
        <v>76</v>
      </c>
      <c r="C176" s="3"/>
    </row>
    <row r="177" spans="1:3" hidden="1" x14ac:dyDescent="0.3">
      <c r="A177" s="1">
        <v>6</v>
      </c>
      <c r="B177" s="1" t="s">
        <v>21</v>
      </c>
      <c r="C177" s="3" t="s">
        <v>72</v>
      </c>
    </row>
    <row r="178" spans="1:3" hidden="1" x14ac:dyDescent="0.3">
      <c r="A178" s="1">
        <v>7</v>
      </c>
      <c r="B178" s="1" t="s">
        <v>102</v>
      </c>
      <c r="C178" s="3" t="s">
        <v>103</v>
      </c>
    </row>
    <row r="179" spans="1:3" hidden="1" x14ac:dyDescent="0.3">
      <c r="A179" s="1">
        <v>8</v>
      </c>
      <c r="B179" s="1" t="s">
        <v>79</v>
      </c>
      <c r="C179" s="3" t="s">
        <v>84</v>
      </c>
    </row>
    <row r="180" spans="1:3" hidden="1" x14ac:dyDescent="0.3">
      <c r="B180" s="1" t="s">
        <v>80</v>
      </c>
      <c r="C180" s="3"/>
    </row>
    <row r="181" spans="1:3" hidden="1" x14ac:dyDescent="0.3">
      <c r="B181" s="1" t="s">
        <v>81</v>
      </c>
      <c r="C181" s="3"/>
    </row>
    <row r="182" spans="1:3" hidden="1" x14ac:dyDescent="0.3">
      <c r="B182" s="1" t="s">
        <v>82</v>
      </c>
      <c r="C182" s="3"/>
    </row>
    <row r="183" spans="1:3" hidden="1" x14ac:dyDescent="0.3">
      <c r="B183" s="1" t="s">
        <v>83</v>
      </c>
      <c r="C183" s="3"/>
    </row>
    <row r="184" spans="1:3" hidden="1" x14ac:dyDescent="0.3">
      <c r="A184" s="1">
        <v>9</v>
      </c>
      <c r="B184" s="1" t="s">
        <v>85</v>
      </c>
      <c r="C184" s="3" t="s">
        <v>86</v>
      </c>
    </row>
    <row r="185" spans="1:3" hidden="1" x14ac:dyDescent="0.3">
      <c r="A185" s="1">
        <v>10</v>
      </c>
      <c r="B185" s="1" t="s">
        <v>104</v>
      </c>
      <c r="C185" s="3" t="s">
        <v>72</v>
      </c>
    </row>
    <row r="186" spans="1:3" hidden="1" x14ac:dyDescent="0.3">
      <c r="C186" s="3"/>
    </row>
    <row r="187" spans="1:3" hidden="1" x14ac:dyDescent="0.3">
      <c r="A187" s="1">
        <v>11</v>
      </c>
      <c r="B187" s="1" t="s">
        <v>88</v>
      </c>
      <c r="C187" s="3" t="s">
        <v>89</v>
      </c>
    </row>
    <row r="188" spans="1:3" hidden="1" x14ac:dyDescent="0.3">
      <c r="A188" s="1">
        <v>12</v>
      </c>
      <c r="B188" s="1" t="s">
        <v>90</v>
      </c>
      <c r="C188" s="3" t="s">
        <v>91</v>
      </c>
    </row>
    <row r="189" spans="1:3" hidden="1" x14ac:dyDescent="0.3">
      <c r="A189" s="1">
        <v>13</v>
      </c>
      <c r="B189" s="1" t="s">
        <v>92</v>
      </c>
      <c r="C189" s="4">
        <v>3500</v>
      </c>
    </row>
    <row r="190" spans="1:3" hidden="1" x14ac:dyDescent="0.3">
      <c r="A190" s="1">
        <v>14</v>
      </c>
      <c r="B190" s="1" t="s">
        <v>93</v>
      </c>
      <c r="C190" s="4">
        <v>2000</v>
      </c>
    </row>
    <row r="191" spans="1:3" hidden="1" x14ac:dyDescent="0.3">
      <c r="A191" s="1">
        <v>15</v>
      </c>
      <c r="B191" s="1" t="s">
        <v>42</v>
      </c>
      <c r="C191" s="4">
        <v>2000</v>
      </c>
    </row>
    <row r="192" spans="1:3" hidden="1" x14ac:dyDescent="0.3">
      <c r="A192" s="1">
        <v>16</v>
      </c>
      <c r="B192" s="1" t="s">
        <v>43</v>
      </c>
      <c r="C192" s="3"/>
    </row>
    <row r="193" spans="1:3" hidden="1" x14ac:dyDescent="0.3">
      <c r="B193" s="1" t="s">
        <v>94</v>
      </c>
      <c r="C193" s="4">
        <v>8000</v>
      </c>
    </row>
    <row r="194" spans="1:3" hidden="1" x14ac:dyDescent="0.3">
      <c r="B194" s="1" t="s">
        <v>95</v>
      </c>
      <c r="C194" s="3"/>
    </row>
    <row r="195" spans="1:3" hidden="1" x14ac:dyDescent="0.3">
      <c r="B195" s="1" t="s">
        <v>96</v>
      </c>
      <c r="C195" s="3"/>
    </row>
    <row r="196" spans="1:3" hidden="1" x14ac:dyDescent="0.3">
      <c r="A196" s="1">
        <v>17</v>
      </c>
      <c r="B196" s="1" t="s">
        <v>47</v>
      </c>
      <c r="C196" s="4">
        <v>6000</v>
      </c>
    </row>
    <row r="197" spans="1:3" hidden="1" x14ac:dyDescent="0.3">
      <c r="B197" s="1" t="s">
        <v>48</v>
      </c>
      <c r="C197" s="3"/>
    </row>
    <row r="198" spans="1:3" hidden="1" x14ac:dyDescent="0.3">
      <c r="A198" s="1">
        <v>18</v>
      </c>
      <c r="B198" s="1" t="s">
        <v>97</v>
      </c>
      <c r="C198" s="3" t="s">
        <v>72</v>
      </c>
    </row>
    <row r="199" spans="1:3" hidden="1" x14ac:dyDescent="0.3">
      <c r="A199" s="1">
        <v>19</v>
      </c>
      <c r="B199" s="1" t="s">
        <v>55</v>
      </c>
      <c r="C199" s="3" t="s">
        <v>98</v>
      </c>
    </row>
    <row r="200" spans="1:3" hidden="1" x14ac:dyDescent="0.3">
      <c r="A200" s="1">
        <v>20</v>
      </c>
      <c r="B200" s="1" t="s">
        <v>99</v>
      </c>
      <c r="C200" s="3" t="s">
        <v>98</v>
      </c>
    </row>
    <row r="201" spans="1:3" hidden="1" x14ac:dyDescent="0.3">
      <c r="A201" s="1">
        <v>21</v>
      </c>
      <c r="B201" s="1" t="s">
        <v>57</v>
      </c>
      <c r="C201" s="3" t="s">
        <v>100</v>
      </c>
    </row>
    <row r="202" spans="1:3" hidden="1" x14ac:dyDescent="0.3">
      <c r="C202" s="3"/>
    </row>
    <row r="203" spans="1:3" hidden="1" x14ac:dyDescent="0.3">
      <c r="A203" s="1" t="s">
        <v>105</v>
      </c>
      <c r="C203" s="3"/>
    </row>
    <row r="204" spans="1:3" hidden="1" x14ac:dyDescent="0.3">
      <c r="C204" s="3"/>
    </row>
    <row r="205" spans="1:3" hidden="1" x14ac:dyDescent="0.3">
      <c r="A205" s="1" t="s">
        <v>2</v>
      </c>
      <c r="B205" s="1" t="s">
        <v>3</v>
      </c>
      <c r="C205" s="3" t="s">
        <v>4</v>
      </c>
    </row>
    <row r="206" spans="1:3" hidden="1" x14ac:dyDescent="0.3">
      <c r="A206" s="1">
        <v>1</v>
      </c>
      <c r="B206" s="1" t="s">
        <v>66</v>
      </c>
      <c r="C206" s="4">
        <v>9000</v>
      </c>
    </row>
    <row r="207" spans="1:3" hidden="1" x14ac:dyDescent="0.3">
      <c r="A207" s="1">
        <v>2</v>
      </c>
      <c r="B207" s="1" t="s">
        <v>67</v>
      </c>
      <c r="C207" s="3" t="s">
        <v>70</v>
      </c>
    </row>
    <row r="208" spans="1:3" hidden="1" x14ac:dyDescent="0.3">
      <c r="C208" s="3"/>
    </row>
    <row r="209" spans="1:3" hidden="1" x14ac:dyDescent="0.3">
      <c r="B209" s="1" t="s">
        <v>7</v>
      </c>
      <c r="C209" s="3" t="s">
        <v>12</v>
      </c>
    </row>
    <row r="210" spans="1:3" hidden="1" x14ac:dyDescent="0.3">
      <c r="C210" s="3"/>
    </row>
    <row r="211" spans="1:3" hidden="1" x14ac:dyDescent="0.3">
      <c r="B211" s="1" t="s">
        <v>8</v>
      </c>
      <c r="C211" s="3" t="s">
        <v>71</v>
      </c>
    </row>
    <row r="212" spans="1:3" hidden="1" x14ac:dyDescent="0.3">
      <c r="B212" s="1" t="s">
        <v>68</v>
      </c>
      <c r="C212" s="3"/>
    </row>
    <row r="213" spans="1:3" hidden="1" x14ac:dyDescent="0.3">
      <c r="B213" s="1" t="s">
        <v>69</v>
      </c>
      <c r="C213" s="3"/>
    </row>
    <row r="214" spans="1:3" hidden="1" x14ac:dyDescent="0.3">
      <c r="C214" s="3"/>
    </row>
    <row r="215" spans="1:3" hidden="1" x14ac:dyDescent="0.3">
      <c r="A215" s="1">
        <v>3</v>
      </c>
      <c r="B215" s="1" t="s">
        <v>106</v>
      </c>
      <c r="C215" s="3" t="s">
        <v>72</v>
      </c>
    </row>
    <row r="216" spans="1:3" hidden="1" x14ac:dyDescent="0.3">
      <c r="A216" s="1">
        <v>4</v>
      </c>
      <c r="B216" s="1" t="s">
        <v>73</v>
      </c>
      <c r="C216" s="4">
        <v>6000</v>
      </c>
    </row>
    <row r="217" spans="1:3" hidden="1" x14ac:dyDescent="0.3">
      <c r="A217" s="1">
        <v>5</v>
      </c>
      <c r="B217" s="1" t="s">
        <v>107</v>
      </c>
      <c r="C217" s="3" t="s">
        <v>77</v>
      </c>
    </row>
    <row r="218" spans="1:3" hidden="1" x14ac:dyDescent="0.3">
      <c r="A218" s="1">
        <v>6</v>
      </c>
      <c r="B218" s="1" t="s">
        <v>108</v>
      </c>
      <c r="C218" s="3" t="s">
        <v>72</v>
      </c>
    </row>
    <row r="219" spans="1:3" hidden="1" x14ac:dyDescent="0.3">
      <c r="A219" s="1">
        <v>7</v>
      </c>
      <c r="B219" s="1" t="s">
        <v>109</v>
      </c>
      <c r="C219" s="3" t="s">
        <v>103</v>
      </c>
    </row>
    <row r="220" spans="1:3" hidden="1" x14ac:dyDescent="0.3">
      <c r="A220" s="1">
        <v>8</v>
      </c>
      <c r="B220" s="1" t="s">
        <v>110</v>
      </c>
      <c r="C220" s="3" t="s">
        <v>86</v>
      </c>
    </row>
    <row r="221" spans="1:3" hidden="1" x14ac:dyDescent="0.3">
      <c r="A221" s="1">
        <v>9</v>
      </c>
      <c r="B221" s="1" t="s">
        <v>111</v>
      </c>
      <c r="C221" s="3" t="s">
        <v>98</v>
      </c>
    </row>
    <row r="222" spans="1:3" hidden="1" x14ac:dyDescent="0.3">
      <c r="A222" s="1">
        <v>10</v>
      </c>
      <c r="B222" s="1" t="s">
        <v>112</v>
      </c>
      <c r="C222" s="3" t="s">
        <v>72</v>
      </c>
    </row>
    <row r="223" spans="1:3" hidden="1" x14ac:dyDescent="0.3">
      <c r="C223" s="3"/>
    </row>
    <row r="224" spans="1:3" hidden="1" x14ac:dyDescent="0.3">
      <c r="A224" s="1">
        <v>11</v>
      </c>
      <c r="B224" s="1" t="s">
        <v>113</v>
      </c>
      <c r="C224" s="3" t="s">
        <v>114</v>
      </c>
    </row>
    <row r="225" spans="1:3" hidden="1" x14ac:dyDescent="0.3">
      <c r="A225" s="1">
        <v>12</v>
      </c>
      <c r="B225" s="1" t="s">
        <v>115</v>
      </c>
      <c r="C225" s="4">
        <v>10000</v>
      </c>
    </row>
    <row r="226" spans="1:3" hidden="1" x14ac:dyDescent="0.3">
      <c r="B226" s="1" t="s">
        <v>116</v>
      </c>
      <c r="C226" s="3" t="s">
        <v>131</v>
      </c>
    </row>
    <row r="227" spans="1:3" hidden="1" x14ac:dyDescent="0.3">
      <c r="C227" s="3"/>
    </row>
    <row r="228" spans="1:3" hidden="1" x14ac:dyDescent="0.3">
      <c r="B228" s="1" t="s">
        <v>117</v>
      </c>
      <c r="C228" s="3"/>
    </row>
    <row r="229" spans="1:3" hidden="1" x14ac:dyDescent="0.3">
      <c r="B229" s="1" t="s">
        <v>118</v>
      </c>
      <c r="C229" s="3"/>
    </row>
    <row r="230" spans="1:3" hidden="1" x14ac:dyDescent="0.3">
      <c r="B230" s="1" t="s">
        <v>119</v>
      </c>
      <c r="C230" s="3"/>
    </row>
    <row r="231" spans="1:3" hidden="1" x14ac:dyDescent="0.3">
      <c r="B231" s="1" t="s">
        <v>120</v>
      </c>
      <c r="C231" s="3"/>
    </row>
    <row r="232" spans="1:3" hidden="1" x14ac:dyDescent="0.3">
      <c r="B232" s="1" t="s">
        <v>121</v>
      </c>
      <c r="C232" s="3"/>
    </row>
    <row r="233" spans="1:3" hidden="1" x14ac:dyDescent="0.3">
      <c r="B233" s="1" t="s">
        <v>122</v>
      </c>
      <c r="C233" s="3"/>
    </row>
    <row r="234" spans="1:3" hidden="1" x14ac:dyDescent="0.3">
      <c r="B234" s="1" t="s">
        <v>123</v>
      </c>
      <c r="C234" s="3"/>
    </row>
    <row r="235" spans="1:3" hidden="1" x14ac:dyDescent="0.3">
      <c r="B235" s="1" t="s">
        <v>124</v>
      </c>
      <c r="C235" s="3"/>
    </row>
    <row r="236" spans="1:3" hidden="1" x14ac:dyDescent="0.3">
      <c r="B236" s="1" t="s">
        <v>125</v>
      </c>
      <c r="C236" s="3"/>
    </row>
    <row r="237" spans="1:3" hidden="1" x14ac:dyDescent="0.3">
      <c r="B237" s="1" t="s">
        <v>126</v>
      </c>
      <c r="C237" s="3"/>
    </row>
    <row r="238" spans="1:3" hidden="1" x14ac:dyDescent="0.3">
      <c r="B238" s="1" t="s">
        <v>127</v>
      </c>
      <c r="C238" s="3"/>
    </row>
    <row r="239" spans="1:3" hidden="1" x14ac:dyDescent="0.3">
      <c r="B239" s="1" t="s">
        <v>128</v>
      </c>
      <c r="C239" s="3"/>
    </row>
    <row r="240" spans="1:3" hidden="1" x14ac:dyDescent="0.3">
      <c r="B240" s="1" t="s">
        <v>129</v>
      </c>
      <c r="C240" s="3"/>
    </row>
    <row r="241" spans="1:3" hidden="1" x14ac:dyDescent="0.3">
      <c r="B241" s="1" t="s">
        <v>130</v>
      </c>
      <c r="C241" s="3"/>
    </row>
    <row r="242" spans="1:3" hidden="1" x14ac:dyDescent="0.3">
      <c r="A242" s="1">
        <v>13</v>
      </c>
      <c r="B242" s="1" t="s">
        <v>90</v>
      </c>
      <c r="C242" s="3" t="s">
        <v>91</v>
      </c>
    </row>
    <row r="243" spans="1:3" hidden="1" x14ac:dyDescent="0.3">
      <c r="A243" s="1">
        <v>14</v>
      </c>
      <c r="B243" s="1" t="s">
        <v>92</v>
      </c>
      <c r="C243" s="4">
        <v>3500</v>
      </c>
    </row>
    <row r="244" spans="1:3" hidden="1" x14ac:dyDescent="0.3">
      <c r="A244" s="1">
        <v>15</v>
      </c>
      <c r="B244" s="1" t="s">
        <v>93</v>
      </c>
      <c r="C244" s="4">
        <v>2000</v>
      </c>
    </row>
    <row r="245" spans="1:3" hidden="1" x14ac:dyDescent="0.3">
      <c r="A245" s="1">
        <v>16</v>
      </c>
      <c r="B245" s="1" t="s">
        <v>42</v>
      </c>
      <c r="C245" s="4">
        <v>2000</v>
      </c>
    </row>
    <row r="246" spans="1:3" hidden="1" x14ac:dyDescent="0.3">
      <c r="A246" s="1">
        <v>17</v>
      </c>
      <c r="B246" s="1" t="s">
        <v>43</v>
      </c>
      <c r="C246" s="3"/>
    </row>
    <row r="247" spans="1:3" hidden="1" x14ac:dyDescent="0.3">
      <c r="B247" s="1" t="s">
        <v>94</v>
      </c>
      <c r="C247" s="4">
        <v>8000</v>
      </c>
    </row>
    <row r="248" spans="1:3" hidden="1" x14ac:dyDescent="0.3">
      <c r="B248" s="1" t="s">
        <v>95</v>
      </c>
      <c r="C248" s="3"/>
    </row>
    <row r="249" spans="1:3" hidden="1" x14ac:dyDescent="0.3">
      <c r="B249" s="1" t="s">
        <v>96</v>
      </c>
      <c r="C249" s="3"/>
    </row>
    <row r="250" spans="1:3" hidden="1" x14ac:dyDescent="0.3">
      <c r="A250" s="1">
        <v>18</v>
      </c>
      <c r="B250" s="1" t="s">
        <v>47</v>
      </c>
      <c r="C250" s="4">
        <v>6000</v>
      </c>
    </row>
    <row r="251" spans="1:3" hidden="1" x14ac:dyDescent="0.3">
      <c r="B251" s="1" t="s">
        <v>48</v>
      </c>
      <c r="C251" s="3"/>
    </row>
    <row r="252" spans="1:3" hidden="1" x14ac:dyDescent="0.3">
      <c r="A252" s="1">
        <v>19</v>
      </c>
      <c r="B252" s="1" t="s">
        <v>132</v>
      </c>
      <c r="C252" s="3" t="s">
        <v>72</v>
      </c>
    </row>
    <row r="253" spans="1:3" hidden="1" x14ac:dyDescent="0.3">
      <c r="A253" s="1">
        <v>20</v>
      </c>
      <c r="B253" s="1" t="s">
        <v>55</v>
      </c>
      <c r="C253" s="3" t="s">
        <v>98</v>
      </c>
    </row>
    <row r="254" spans="1:3" hidden="1" x14ac:dyDescent="0.3">
      <c r="A254" s="1">
        <v>21</v>
      </c>
      <c r="B254" s="1" t="s">
        <v>133</v>
      </c>
      <c r="C254" s="3" t="s">
        <v>98</v>
      </c>
    </row>
    <row r="255" spans="1:3" hidden="1" x14ac:dyDescent="0.3">
      <c r="A255" s="1">
        <v>22</v>
      </c>
      <c r="B255" s="1" t="s">
        <v>57</v>
      </c>
      <c r="C255" s="3" t="s">
        <v>100</v>
      </c>
    </row>
    <row r="256" spans="1:3" hidden="1" x14ac:dyDescent="0.3">
      <c r="C256" s="3"/>
    </row>
    <row r="257" spans="1:3" hidden="1" x14ac:dyDescent="0.3">
      <c r="C257" s="3"/>
    </row>
    <row r="258" spans="1:3" hidden="1" x14ac:dyDescent="0.3">
      <c r="A258" s="1" t="s">
        <v>134</v>
      </c>
      <c r="C258" s="3"/>
    </row>
    <row r="259" spans="1:3" hidden="1" x14ac:dyDescent="0.3">
      <c r="C259" s="3"/>
    </row>
    <row r="260" spans="1:3" hidden="1" x14ac:dyDescent="0.3">
      <c r="A260" s="1" t="s">
        <v>2</v>
      </c>
      <c r="B260" s="1" t="s">
        <v>3</v>
      </c>
      <c r="C260" s="3" t="s">
        <v>4</v>
      </c>
    </row>
    <row r="261" spans="1:3" hidden="1" x14ac:dyDescent="0.3">
      <c r="A261" s="1">
        <v>1</v>
      </c>
      <c r="B261" s="1" t="s">
        <v>66</v>
      </c>
      <c r="C261" s="4">
        <v>9000</v>
      </c>
    </row>
    <row r="262" spans="1:3" hidden="1" x14ac:dyDescent="0.3">
      <c r="C262" s="3"/>
    </row>
    <row r="263" spans="1:3" hidden="1" x14ac:dyDescent="0.3">
      <c r="B263" s="1" t="s">
        <v>135</v>
      </c>
      <c r="C263" s="3"/>
    </row>
    <row r="264" spans="1:3" hidden="1" x14ac:dyDescent="0.3">
      <c r="A264" s="1">
        <v>2</v>
      </c>
      <c r="B264" s="1" t="s">
        <v>67</v>
      </c>
      <c r="C264" s="3" t="s">
        <v>70</v>
      </c>
    </row>
    <row r="265" spans="1:3" hidden="1" x14ac:dyDescent="0.3">
      <c r="A265" s="1">
        <v>3</v>
      </c>
      <c r="B265" s="1" t="s">
        <v>136</v>
      </c>
      <c r="C265" s="3" t="s">
        <v>137</v>
      </c>
    </row>
    <row r="266" spans="1:3" hidden="1" x14ac:dyDescent="0.3">
      <c r="C266" s="3"/>
    </row>
    <row r="267" spans="1:3" hidden="1" x14ac:dyDescent="0.3">
      <c r="C267" s="3" t="s">
        <v>138</v>
      </c>
    </row>
    <row r="268" spans="1:3" hidden="1" x14ac:dyDescent="0.3">
      <c r="A268" s="1">
        <v>4</v>
      </c>
      <c r="B268" s="1" t="s">
        <v>73</v>
      </c>
      <c r="C268" s="4">
        <v>6000</v>
      </c>
    </row>
    <row r="269" spans="1:3" hidden="1" x14ac:dyDescent="0.3">
      <c r="A269" s="1">
        <v>5</v>
      </c>
      <c r="B269" s="1" t="s">
        <v>107</v>
      </c>
      <c r="C269" s="3" t="s">
        <v>70</v>
      </c>
    </row>
    <row r="270" spans="1:3" hidden="1" x14ac:dyDescent="0.3">
      <c r="A270" s="1">
        <v>6</v>
      </c>
      <c r="B270" s="1" t="s">
        <v>108</v>
      </c>
      <c r="C270" s="3" t="s">
        <v>137</v>
      </c>
    </row>
    <row r="271" spans="1:3" hidden="1" x14ac:dyDescent="0.3">
      <c r="C271" s="3"/>
    </row>
    <row r="272" spans="1:3" hidden="1" x14ac:dyDescent="0.3">
      <c r="C272" s="3" t="s">
        <v>138</v>
      </c>
    </row>
    <row r="273" spans="1:3" hidden="1" x14ac:dyDescent="0.3">
      <c r="A273" s="1">
        <v>7</v>
      </c>
      <c r="B273" s="1" t="s">
        <v>109</v>
      </c>
      <c r="C273" s="3" t="s">
        <v>103</v>
      </c>
    </row>
    <row r="274" spans="1:3" hidden="1" x14ac:dyDescent="0.3">
      <c r="A274" s="1">
        <v>8</v>
      </c>
      <c r="B274" s="1" t="s">
        <v>110</v>
      </c>
      <c r="C274" s="3" t="s">
        <v>86</v>
      </c>
    </row>
    <row r="275" spans="1:3" hidden="1" x14ac:dyDescent="0.3">
      <c r="A275" s="1">
        <v>9</v>
      </c>
      <c r="B275" s="1" t="s">
        <v>111</v>
      </c>
      <c r="C275" s="3" t="s">
        <v>98</v>
      </c>
    </row>
    <row r="276" spans="1:3" hidden="1" x14ac:dyDescent="0.3">
      <c r="A276" s="1">
        <v>10</v>
      </c>
      <c r="B276" s="1" t="s">
        <v>139</v>
      </c>
      <c r="C276" s="3" t="s">
        <v>98</v>
      </c>
    </row>
    <row r="277" spans="1:3" hidden="1" x14ac:dyDescent="0.3">
      <c r="A277" s="1">
        <v>11</v>
      </c>
      <c r="B277" s="1" t="s">
        <v>112</v>
      </c>
      <c r="C277" s="3" t="s">
        <v>72</v>
      </c>
    </row>
    <row r="278" spans="1:3" hidden="1" x14ac:dyDescent="0.3">
      <c r="A278" s="1">
        <v>12</v>
      </c>
      <c r="B278" s="1" t="s">
        <v>113</v>
      </c>
      <c r="C278" s="3" t="s">
        <v>114</v>
      </c>
    </row>
    <row r="279" spans="1:3" hidden="1" x14ac:dyDescent="0.3">
      <c r="A279" s="1">
        <v>13</v>
      </c>
      <c r="B279" s="1" t="s">
        <v>140</v>
      </c>
      <c r="C279" s="3" t="s">
        <v>103</v>
      </c>
    </row>
    <row r="280" spans="1:3" hidden="1" x14ac:dyDescent="0.3">
      <c r="A280" s="1">
        <v>14</v>
      </c>
      <c r="B280" s="1" t="s">
        <v>115</v>
      </c>
      <c r="C280" s="3" t="s">
        <v>141</v>
      </c>
    </row>
    <row r="281" spans="1:3" hidden="1" x14ac:dyDescent="0.3">
      <c r="B281" s="1" t="s">
        <v>116</v>
      </c>
      <c r="C281" s="3"/>
    </row>
    <row r="282" spans="1:3" hidden="1" x14ac:dyDescent="0.3">
      <c r="C282" s="3"/>
    </row>
    <row r="283" spans="1:3" hidden="1" x14ac:dyDescent="0.3">
      <c r="B283" s="1" t="s">
        <v>117</v>
      </c>
      <c r="C283" s="3"/>
    </row>
    <row r="284" spans="1:3" hidden="1" x14ac:dyDescent="0.3">
      <c r="B284" s="1" t="s">
        <v>118</v>
      </c>
      <c r="C284" s="3"/>
    </row>
    <row r="285" spans="1:3" hidden="1" x14ac:dyDescent="0.3">
      <c r="B285" s="1" t="s">
        <v>119</v>
      </c>
      <c r="C285" s="3"/>
    </row>
    <row r="286" spans="1:3" hidden="1" x14ac:dyDescent="0.3">
      <c r="B286" s="1" t="s">
        <v>120</v>
      </c>
      <c r="C286" s="3"/>
    </row>
    <row r="287" spans="1:3" hidden="1" x14ac:dyDescent="0.3">
      <c r="B287" s="1" t="s">
        <v>121</v>
      </c>
      <c r="C287" s="3"/>
    </row>
    <row r="288" spans="1:3" hidden="1" x14ac:dyDescent="0.3">
      <c r="B288" s="1" t="s">
        <v>122</v>
      </c>
      <c r="C288" s="3"/>
    </row>
    <row r="289" spans="1:3" hidden="1" x14ac:dyDescent="0.3">
      <c r="B289" s="1" t="s">
        <v>123</v>
      </c>
      <c r="C289" s="3"/>
    </row>
    <row r="290" spans="1:3" hidden="1" x14ac:dyDescent="0.3">
      <c r="B290" s="1" t="s">
        <v>124</v>
      </c>
      <c r="C290" s="3"/>
    </row>
    <row r="291" spans="1:3" hidden="1" x14ac:dyDescent="0.3">
      <c r="B291" s="1" t="s">
        <v>125</v>
      </c>
      <c r="C291" s="3"/>
    </row>
    <row r="292" spans="1:3" hidden="1" x14ac:dyDescent="0.3">
      <c r="B292" s="1" t="s">
        <v>126</v>
      </c>
      <c r="C292" s="3"/>
    </row>
    <row r="293" spans="1:3" hidden="1" x14ac:dyDescent="0.3">
      <c r="B293" s="1" t="s">
        <v>127</v>
      </c>
      <c r="C293" s="3"/>
    </row>
    <row r="294" spans="1:3" hidden="1" x14ac:dyDescent="0.3">
      <c r="B294" s="1" t="s">
        <v>128</v>
      </c>
      <c r="C294" s="3"/>
    </row>
    <row r="295" spans="1:3" hidden="1" x14ac:dyDescent="0.3">
      <c r="B295" s="1" t="s">
        <v>129</v>
      </c>
      <c r="C295" s="3"/>
    </row>
    <row r="296" spans="1:3" hidden="1" x14ac:dyDescent="0.3">
      <c r="B296" s="1" t="s">
        <v>130</v>
      </c>
      <c r="C296" s="3"/>
    </row>
    <row r="297" spans="1:3" hidden="1" x14ac:dyDescent="0.3">
      <c r="A297" s="1">
        <v>15</v>
      </c>
      <c r="B297" s="1" t="s">
        <v>90</v>
      </c>
      <c r="C297" s="3" t="s">
        <v>98</v>
      </c>
    </row>
    <row r="298" spans="1:3" hidden="1" x14ac:dyDescent="0.3">
      <c r="A298" s="1">
        <v>16</v>
      </c>
      <c r="B298" s="1" t="s">
        <v>92</v>
      </c>
      <c r="C298" s="4">
        <v>3500</v>
      </c>
    </row>
    <row r="299" spans="1:3" hidden="1" x14ac:dyDescent="0.3">
      <c r="A299" s="1">
        <v>17</v>
      </c>
      <c r="B299" s="1" t="s">
        <v>93</v>
      </c>
      <c r="C299" s="4">
        <v>1000</v>
      </c>
    </row>
    <row r="300" spans="1:3" hidden="1" x14ac:dyDescent="0.3">
      <c r="A300" s="1">
        <v>18</v>
      </c>
      <c r="B300" s="1" t="s">
        <v>42</v>
      </c>
      <c r="C300" s="4">
        <v>1000</v>
      </c>
    </row>
    <row r="301" spans="1:3" hidden="1" x14ac:dyDescent="0.3">
      <c r="A301" s="1">
        <v>19</v>
      </c>
      <c r="B301" s="1" t="s">
        <v>43</v>
      </c>
      <c r="C301" s="4">
        <v>4000</v>
      </c>
    </row>
    <row r="302" spans="1:3" hidden="1" x14ac:dyDescent="0.3">
      <c r="B302" s="1" t="s">
        <v>94</v>
      </c>
      <c r="C302" s="3"/>
    </row>
    <row r="303" spans="1:3" hidden="1" x14ac:dyDescent="0.3">
      <c r="B303" s="1" t="s">
        <v>95</v>
      </c>
      <c r="C303" s="3">
        <v>6000</v>
      </c>
    </row>
    <row r="304" spans="1:3" hidden="1" x14ac:dyDescent="0.3">
      <c r="B304" s="1" t="s">
        <v>96</v>
      </c>
      <c r="C304" s="3"/>
    </row>
    <row r="305" spans="1:3" hidden="1" x14ac:dyDescent="0.3">
      <c r="C305" s="3" t="s">
        <v>142</v>
      </c>
    </row>
    <row r="306" spans="1:3" hidden="1" x14ac:dyDescent="0.3">
      <c r="A306" s="1">
        <v>20</v>
      </c>
      <c r="B306" s="1" t="s">
        <v>47</v>
      </c>
      <c r="C306" s="3" t="s">
        <v>145</v>
      </c>
    </row>
    <row r="307" spans="1:3" hidden="1" x14ac:dyDescent="0.3">
      <c r="C307" s="3"/>
    </row>
    <row r="308" spans="1:3" hidden="1" x14ac:dyDescent="0.3">
      <c r="C308" s="3" t="s">
        <v>146</v>
      </c>
    </row>
    <row r="309" spans="1:3" hidden="1" x14ac:dyDescent="0.3">
      <c r="B309" s="1" t="s">
        <v>143</v>
      </c>
      <c r="C309" s="3"/>
    </row>
    <row r="310" spans="1:3" hidden="1" x14ac:dyDescent="0.3">
      <c r="C310" s="3"/>
    </row>
    <row r="311" spans="1:3" hidden="1" x14ac:dyDescent="0.3">
      <c r="B311" s="1" t="s">
        <v>144</v>
      </c>
      <c r="C311" s="3"/>
    </row>
    <row r="312" spans="1:3" hidden="1" x14ac:dyDescent="0.3">
      <c r="A312" s="1">
        <v>21</v>
      </c>
      <c r="B312" s="1" t="s">
        <v>132</v>
      </c>
      <c r="C312" s="3" t="s">
        <v>72</v>
      </c>
    </row>
    <row r="313" spans="1:3" hidden="1" x14ac:dyDescent="0.3">
      <c r="A313" s="1">
        <v>22</v>
      </c>
      <c r="B313" s="1" t="s">
        <v>147</v>
      </c>
      <c r="C313" s="3" t="s">
        <v>86</v>
      </c>
    </row>
    <row r="314" spans="1:3" hidden="1" x14ac:dyDescent="0.3">
      <c r="A314" s="1">
        <v>23</v>
      </c>
      <c r="B314" s="1" t="s">
        <v>55</v>
      </c>
      <c r="C314" s="3" t="s">
        <v>98</v>
      </c>
    </row>
    <row r="315" spans="1:3" hidden="1" x14ac:dyDescent="0.3">
      <c r="A315" s="1">
        <v>24</v>
      </c>
      <c r="B315" s="1" t="s">
        <v>133</v>
      </c>
      <c r="C315" s="3" t="s">
        <v>98</v>
      </c>
    </row>
    <row r="316" spans="1:3" hidden="1" x14ac:dyDescent="0.3">
      <c r="C316" s="3"/>
    </row>
    <row r="317" spans="1:3" hidden="1" x14ac:dyDescent="0.3">
      <c r="C317" s="3"/>
    </row>
    <row r="318" spans="1:3" hidden="1" x14ac:dyDescent="0.3">
      <c r="A318" s="1" t="s">
        <v>148</v>
      </c>
      <c r="C318" s="3"/>
    </row>
    <row r="319" spans="1:3" hidden="1" x14ac:dyDescent="0.3">
      <c r="C319" s="3"/>
    </row>
    <row r="320" spans="1:3" hidden="1" x14ac:dyDescent="0.3">
      <c r="A320" s="1" t="s">
        <v>2</v>
      </c>
      <c r="B320" s="1" t="s">
        <v>3</v>
      </c>
      <c r="C320" s="3" t="s">
        <v>4</v>
      </c>
    </row>
    <row r="321" spans="1:3" hidden="1" x14ac:dyDescent="0.3">
      <c r="A321" s="1">
        <v>1</v>
      </c>
      <c r="B321" s="1" t="s">
        <v>66</v>
      </c>
      <c r="C321" s="4">
        <v>8000</v>
      </c>
    </row>
    <row r="322" spans="1:3" hidden="1" x14ac:dyDescent="0.3">
      <c r="A322" s="1">
        <v>2</v>
      </c>
      <c r="B322" s="1" t="s">
        <v>67</v>
      </c>
      <c r="C322" s="3" t="s">
        <v>70</v>
      </c>
    </row>
    <row r="323" spans="1:3" hidden="1" x14ac:dyDescent="0.3">
      <c r="A323" s="1">
        <v>3</v>
      </c>
      <c r="B323" s="1" t="s">
        <v>136</v>
      </c>
      <c r="C323" s="3" t="s">
        <v>70</v>
      </c>
    </row>
    <row r="324" spans="1:3" hidden="1" x14ac:dyDescent="0.3">
      <c r="A324" s="1">
        <v>4</v>
      </c>
      <c r="B324" s="1" t="s">
        <v>73</v>
      </c>
      <c r="C324" s="4">
        <v>6000</v>
      </c>
    </row>
    <row r="325" spans="1:3" hidden="1" x14ac:dyDescent="0.3">
      <c r="A325" s="1">
        <v>5</v>
      </c>
      <c r="B325" s="1" t="s">
        <v>107</v>
      </c>
      <c r="C325" s="3" t="s">
        <v>70</v>
      </c>
    </row>
    <row r="326" spans="1:3" hidden="1" x14ac:dyDescent="0.3">
      <c r="A326" s="1">
        <v>6</v>
      </c>
      <c r="B326" s="1" t="s">
        <v>108</v>
      </c>
      <c r="C326" s="3" t="s">
        <v>70</v>
      </c>
    </row>
    <row r="327" spans="1:3" hidden="1" x14ac:dyDescent="0.3">
      <c r="A327" s="1">
        <v>7</v>
      </c>
      <c r="B327" s="1" t="s">
        <v>109</v>
      </c>
      <c r="C327" s="3" t="s">
        <v>103</v>
      </c>
    </row>
    <row r="328" spans="1:3" hidden="1" x14ac:dyDescent="0.3">
      <c r="A328" s="1">
        <v>8</v>
      </c>
      <c r="B328" s="1" t="s">
        <v>110</v>
      </c>
      <c r="C328" s="3" t="s">
        <v>86</v>
      </c>
    </row>
    <row r="329" spans="1:3" hidden="1" x14ac:dyDescent="0.3">
      <c r="A329" s="1">
        <v>9</v>
      </c>
      <c r="B329" s="1" t="s">
        <v>149</v>
      </c>
      <c r="C329" s="3" t="s">
        <v>98</v>
      </c>
    </row>
    <row r="330" spans="1:3" hidden="1" x14ac:dyDescent="0.3">
      <c r="A330" s="1">
        <v>10</v>
      </c>
      <c r="B330" s="1" t="s">
        <v>139</v>
      </c>
      <c r="C330" s="3" t="s">
        <v>98</v>
      </c>
    </row>
    <row r="331" spans="1:3" hidden="1" x14ac:dyDescent="0.3">
      <c r="A331" s="1">
        <v>11</v>
      </c>
      <c r="B331" s="1" t="s">
        <v>113</v>
      </c>
      <c r="C331" s="3" t="s">
        <v>114</v>
      </c>
    </row>
    <row r="332" spans="1:3" hidden="1" x14ac:dyDescent="0.3">
      <c r="A332" s="1">
        <v>12</v>
      </c>
      <c r="B332" s="1" t="s">
        <v>115</v>
      </c>
      <c r="C332" s="3" t="s">
        <v>141</v>
      </c>
    </row>
    <row r="333" spans="1:3" hidden="1" x14ac:dyDescent="0.3">
      <c r="B333" s="1" t="s">
        <v>116</v>
      </c>
      <c r="C333" s="3"/>
    </row>
    <row r="334" spans="1:3" hidden="1" x14ac:dyDescent="0.3">
      <c r="C334" s="3"/>
    </row>
    <row r="335" spans="1:3" hidden="1" x14ac:dyDescent="0.3">
      <c r="B335" s="1" t="s">
        <v>117</v>
      </c>
      <c r="C335" s="3"/>
    </row>
    <row r="336" spans="1:3" hidden="1" x14ac:dyDescent="0.3">
      <c r="B336" s="1" t="s">
        <v>118</v>
      </c>
      <c r="C336" s="3"/>
    </row>
    <row r="337" spans="1:3" hidden="1" x14ac:dyDescent="0.3">
      <c r="B337" s="1" t="s">
        <v>119</v>
      </c>
      <c r="C337" s="3"/>
    </row>
    <row r="338" spans="1:3" hidden="1" x14ac:dyDescent="0.3">
      <c r="B338" s="1" t="s">
        <v>120</v>
      </c>
      <c r="C338" s="3"/>
    </row>
    <row r="339" spans="1:3" hidden="1" x14ac:dyDescent="0.3">
      <c r="B339" s="1" t="s">
        <v>121</v>
      </c>
      <c r="C339" s="3"/>
    </row>
    <row r="340" spans="1:3" hidden="1" x14ac:dyDescent="0.3">
      <c r="B340" s="1" t="s">
        <v>122</v>
      </c>
      <c r="C340" s="3"/>
    </row>
    <row r="341" spans="1:3" hidden="1" x14ac:dyDescent="0.3">
      <c r="B341" s="1" t="s">
        <v>123</v>
      </c>
      <c r="C341" s="3"/>
    </row>
    <row r="342" spans="1:3" hidden="1" x14ac:dyDescent="0.3">
      <c r="B342" s="1" t="s">
        <v>124</v>
      </c>
      <c r="C342" s="3"/>
    </row>
    <row r="343" spans="1:3" hidden="1" x14ac:dyDescent="0.3">
      <c r="C343" s="3"/>
    </row>
    <row r="344" spans="1:3" hidden="1" x14ac:dyDescent="0.3">
      <c r="B344" s="1" t="s">
        <v>125</v>
      </c>
      <c r="C344" s="3"/>
    </row>
    <row r="345" spans="1:3" hidden="1" x14ac:dyDescent="0.3">
      <c r="B345" s="1" t="s">
        <v>126</v>
      </c>
      <c r="C345" s="3"/>
    </row>
    <row r="346" spans="1:3" hidden="1" x14ac:dyDescent="0.3">
      <c r="B346" s="1" t="s">
        <v>127</v>
      </c>
      <c r="C346" s="3"/>
    </row>
    <row r="347" spans="1:3" hidden="1" x14ac:dyDescent="0.3">
      <c r="B347" s="1" t="s">
        <v>128</v>
      </c>
      <c r="C347" s="3"/>
    </row>
    <row r="348" spans="1:3" hidden="1" x14ac:dyDescent="0.3">
      <c r="B348" s="1" t="s">
        <v>129</v>
      </c>
      <c r="C348" s="3"/>
    </row>
    <row r="349" spans="1:3" hidden="1" x14ac:dyDescent="0.3">
      <c r="B349" s="1" t="s">
        <v>130</v>
      </c>
      <c r="C349" s="3"/>
    </row>
    <row r="350" spans="1:3" hidden="1" x14ac:dyDescent="0.3">
      <c r="A350" s="1">
        <v>13</v>
      </c>
      <c r="B350" s="1" t="s">
        <v>90</v>
      </c>
      <c r="C350" s="3" t="s">
        <v>98</v>
      </c>
    </row>
    <row r="351" spans="1:3" hidden="1" x14ac:dyDescent="0.3">
      <c r="A351" s="1">
        <v>14</v>
      </c>
      <c r="B351" s="1" t="s">
        <v>92</v>
      </c>
      <c r="C351" s="4">
        <v>3500</v>
      </c>
    </row>
    <row r="352" spans="1:3" hidden="1" x14ac:dyDescent="0.3">
      <c r="A352" s="1">
        <v>15</v>
      </c>
      <c r="B352" s="1" t="s">
        <v>93</v>
      </c>
      <c r="C352" s="4">
        <v>1000</v>
      </c>
    </row>
    <row r="353" spans="1:3" hidden="1" x14ac:dyDescent="0.3">
      <c r="A353" s="1">
        <v>16</v>
      </c>
      <c r="B353" s="1" t="s">
        <v>42</v>
      </c>
      <c r="C353" s="4">
        <v>1000</v>
      </c>
    </row>
    <row r="354" spans="1:3" hidden="1" x14ac:dyDescent="0.3">
      <c r="A354" s="1">
        <v>17</v>
      </c>
      <c r="B354" s="1" t="s">
        <v>43</v>
      </c>
      <c r="C354" s="4">
        <v>4000</v>
      </c>
    </row>
    <row r="355" spans="1:3" hidden="1" x14ac:dyDescent="0.3">
      <c r="B355" s="1" t="s">
        <v>94</v>
      </c>
      <c r="C355" s="3"/>
    </row>
    <row r="356" spans="1:3" hidden="1" x14ac:dyDescent="0.3">
      <c r="B356" s="1" t="s">
        <v>95</v>
      </c>
      <c r="C356" s="3"/>
    </row>
    <row r="357" spans="1:3" hidden="1" x14ac:dyDescent="0.3">
      <c r="B357" s="1" t="s">
        <v>96</v>
      </c>
      <c r="C357" s="3"/>
    </row>
    <row r="358" spans="1:3" hidden="1" x14ac:dyDescent="0.3">
      <c r="A358" s="1">
        <v>18</v>
      </c>
      <c r="B358" s="1" t="s">
        <v>47</v>
      </c>
      <c r="C358" s="4">
        <v>5000</v>
      </c>
    </row>
    <row r="359" spans="1:3" hidden="1" x14ac:dyDescent="0.3">
      <c r="C359" s="3"/>
    </row>
    <row r="360" spans="1:3" hidden="1" x14ac:dyDescent="0.3">
      <c r="B360" s="1" t="s">
        <v>143</v>
      </c>
      <c r="C360" s="3"/>
    </row>
    <row r="361" spans="1:3" hidden="1" x14ac:dyDescent="0.3">
      <c r="A361" s="1">
        <v>19</v>
      </c>
      <c r="B361" s="1" t="s">
        <v>132</v>
      </c>
      <c r="C361" s="3" t="s">
        <v>72</v>
      </c>
    </row>
    <row r="362" spans="1:3" hidden="1" x14ac:dyDescent="0.3">
      <c r="A362" s="1">
        <v>20</v>
      </c>
      <c r="B362" s="1" t="s">
        <v>133</v>
      </c>
      <c r="C362" s="3" t="s">
        <v>98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710CF-2675-4C34-846F-3DB600D8320B}">
  <sheetPr codeName="Sheet6"/>
  <dimension ref="A1:D192"/>
  <sheetViews>
    <sheetView zoomScaleNormal="100" workbookViewId="0">
      <selection activeCell="A29" sqref="A29"/>
    </sheetView>
  </sheetViews>
  <sheetFormatPr defaultRowHeight="15.6" x14ac:dyDescent="0.3"/>
  <cols>
    <col min="1" max="4" width="34.5546875" style="1" customWidth="1"/>
    <col min="5" max="16384" width="8.88671875" style="1"/>
  </cols>
  <sheetData>
    <row r="1" spans="1:4" x14ac:dyDescent="0.3">
      <c r="A1" s="5" t="s">
        <v>225</v>
      </c>
    </row>
    <row r="3" spans="1:4" x14ac:dyDescent="0.3">
      <c r="A3" s="1" t="s">
        <v>150</v>
      </c>
    </row>
    <row r="4" spans="1:4" x14ac:dyDescent="0.3">
      <c r="A4" s="35" t="s">
        <v>151</v>
      </c>
      <c r="B4" s="36" t="s">
        <v>152</v>
      </c>
      <c r="C4" s="36" t="s">
        <v>153</v>
      </c>
      <c r="D4" s="37" t="s">
        <v>154</v>
      </c>
    </row>
    <row r="5" spans="1:4" x14ac:dyDescent="0.3">
      <c r="A5" s="14" t="s">
        <v>155</v>
      </c>
      <c r="B5" s="38" t="s">
        <v>156</v>
      </c>
      <c r="C5" s="38">
        <v>0</v>
      </c>
      <c r="D5" s="15">
        <v>0</v>
      </c>
    </row>
    <row r="6" spans="1:4" x14ac:dyDescent="0.3">
      <c r="A6" s="16"/>
      <c r="B6" s="34"/>
      <c r="C6" s="34"/>
      <c r="D6" s="17"/>
    </row>
    <row r="7" spans="1:4" x14ac:dyDescent="0.3">
      <c r="A7" s="14" t="s">
        <v>157</v>
      </c>
      <c r="B7" s="38" t="s">
        <v>156</v>
      </c>
      <c r="C7" s="38">
        <v>1</v>
      </c>
      <c r="D7" s="15">
        <v>0</v>
      </c>
    </row>
    <row r="8" spans="1:4" x14ac:dyDescent="0.3">
      <c r="A8" s="16"/>
      <c r="B8" s="34" t="s">
        <v>158</v>
      </c>
      <c r="C8" s="34"/>
      <c r="D8" s="17">
        <v>150</v>
      </c>
    </row>
    <row r="9" spans="1:4" x14ac:dyDescent="0.3">
      <c r="A9" s="14" t="s">
        <v>159</v>
      </c>
      <c r="B9" s="38" t="s">
        <v>160</v>
      </c>
      <c r="C9" s="38">
        <v>3</v>
      </c>
      <c r="D9" s="15">
        <v>150</v>
      </c>
    </row>
    <row r="10" spans="1:4" x14ac:dyDescent="0.3">
      <c r="A10" s="16"/>
      <c r="B10" s="34" t="s">
        <v>158</v>
      </c>
      <c r="C10" s="34"/>
      <c r="D10" s="17">
        <v>450</v>
      </c>
    </row>
    <row r="11" spans="1:4" x14ac:dyDescent="0.3">
      <c r="A11" s="14" t="s">
        <v>161</v>
      </c>
      <c r="B11" s="38" t="s">
        <v>162</v>
      </c>
      <c r="C11" s="38">
        <v>8</v>
      </c>
      <c r="D11" s="15">
        <v>600</v>
      </c>
    </row>
    <row r="12" spans="1:4" x14ac:dyDescent="0.3">
      <c r="A12" s="16"/>
      <c r="B12" s="34" t="s">
        <v>158</v>
      </c>
      <c r="C12" s="34"/>
      <c r="D12" s="19">
        <v>1200</v>
      </c>
    </row>
    <row r="13" spans="1:4" x14ac:dyDescent="0.3">
      <c r="A13" s="14" t="s">
        <v>163</v>
      </c>
      <c r="B13" s="38" t="s">
        <v>164</v>
      </c>
      <c r="C13" s="38">
        <v>14</v>
      </c>
      <c r="D13" s="18">
        <v>1800</v>
      </c>
    </row>
    <row r="14" spans="1:4" x14ac:dyDescent="0.3">
      <c r="A14" s="16"/>
      <c r="B14" s="34" t="s">
        <v>165</v>
      </c>
      <c r="C14" s="34"/>
      <c r="D14" s="19">
        <v>2800</v>
      </c>
    </row>
    <row r="15" spans="1:4" x14ac:dyDescent="0.3">
      <c r="A15" s="14" t="s">
        <v>166</v>
      </c>
      <c r="B15" s="38" t="s">
        <v>167</v>
      </c>
      <c r="C15" s="38">
        <v>21</v>
      </c>
      <c r="D15" s="18">
        <v>4600</v>
      </c>
    </row>
    <row r="16" spans="1:4" x14ac:dyDescent="0.3">
      <c r="A16" s="16"/>
      <c r="B16" s="34" t="s">
        <v>168</v>
      </c>
      <c r="C16" s="34"/>
      <c r="D16" s="19">
        <v>6300</v>
      </c>
    </row>
    <row r="17" spans="1:4" x14ac:dyDescent="0.3">
      <c r="A17" s="14" t="s">
        <v>169</v>
      </c>
      <c r="B17" s="38" t="s">
        <v>170</v>
      </c>
      <c r="C17" s="38">
        <v>24</v>
      </c>
      <c r="D17" s="18">
        <v>10900</v>
      </c>
    </row>
    <row r="18" spans="1:4" x14ac:dyDescent="0.3">
      <c r="A18" s="16"/>
      <c r="B18" s="34" t="s">
        <v>171</v>
      </c>
      <c r="C18" s="34"/>
      <c r="D18" s="19">
        <v>36000</v>
      </c>
    </row>
    <row r="19" spans="1:4" x14ac:dyDescent="0.3">
      <c r="A19" s="14" t="s">
        <v>172</v>
      </c>
      <c r="B19" s="38" t="s">
        <v>173</v>
      </c>
      <c r="C19" s="38">
        <v>24.5</v>
      </c>
      <c r="D19" s="18">
        <v>46900</v>
      </c>
    </row>
    <row r="20" spans="1:4" x14ac:dyDescent="0.3">
      <c r="A20" s="16"/>
      <c r="B20" s="34" t="s">
        <v>171</v>
      </c>
      <c r="C20" s="34"/>
      <c r="D20" s="19">
        <v>36750</v>
      </c>
    </row>
    <row r="21" spans="1:4" x14ac:dyDescent="0.3">
      <c r="A21" s="14" t="s">
        <v>174</v>
      </c>
      <c r="B21" s="38" t="s">
        <v>175</v>
      </c>
      <c r="C21" s="38">
        <v>25</v>
      </c>
      <c r="D21" s="18">
        <v>83650</v>
      </c>
    </row>
    <row r="22" spans="1:4" x14ac:dyDescent="0.3">
      <c r="A22" s="16"/>
      <c r="B22" s="34" t="s">
        <v>176</v>
      </c>
      <c r="C22" s="34"/>
      <c r="D22" s="19">
        <v>50000</v>
      </c>
    </row>
    <row r="23" spans="1:4" x14ac:dyDescent="0.3">
      <c r="A23" s="14" t="s">
        <v>177</v>
      </c>
      <c r="B23" s="38" t="s">
        <v>178</v>
      </c>
      <c r="C23" s="38">
        <v>26</v>
      </c>
      <c r="D23" s="18">
        <v>133650</v>
      </c>
    </row>
    <row r="24" spans="1:4" x14ac:dyDescent="0.3">
      <c r="A24" s="16"/>
      <c r="B24" s="34" t="s">
        <v>179</v>
      </c>
      <c r="C24" s="34"/>
      <c r="D24" s="19">
        <v>104000</v>
      </c>
    </row>
    <row r="25" spans="1:4" x14ac:dyDescent="0.3">
      <c r="A25" s="14" t="s">
        <v>180</v>
      </c>
      <c r="B25" s="38" t="s">
        <v>181</v>
      </c>
      <c r="C25" s="38">
        <v>28</v>
      </c>
      <c r="D25" s="18">
        <v>237650</v>
      </c>
    </row>
    <row r="26" spans="1:4" x14ac:dyDescent="0.3">
      <c r="A26" s="16"/>
      <c r="B26" s="34" t="s">
        <v>182</v>
      </c>
      <c r="C26" s="34"/>
      <c r="D26" s="19">
        <v>280000</v>
      </c>
    </row>
    <row r="27" spans="1:4" x14ac:dyDescent="0.3">
      <c r="A27" s="7" t="s">
        <v>183</v>
      </c>
      <c r="B27" s="33" t="s">
        <v>184</v>
      </c>
      <c r="C27" s="33">
        <v>30</v>
      </c>
      <c r="D27" s="8">
        <v>517650</v>
      </c>
    </row>
    <row r="28" spans="1:4" x14ac:dyDescent="0.3">
      <c r="A28" s="9"/>
      <c r="B28" s="34" t="s">
        <v>185</v>
      </c>
      <c r="C28" s="9"/>
      <c r="D28" s="17" t="s">
        <v>186</v>
      </c>
    </row>
    <row r="29" spans="1:4" hidden="1" x14ac:dyDescent="0.3">
      <c r="A29" s="1" t="s">
        <v>187</v>
      </c>
    </row>
    <row r="30" spans="1:4" hidden="1" x14ac:dyDescent="0.3"/>
    <row r="31" spans="1:4" hidden="1" x14ac:dyDescent="0.3">
      <c r="A31" s="1" t="s">
        <v>151</v>
      </c>
      <c r="B31" s="1" t="s">
        <v>152</v>
      </c>
      <c r="C31" s="1" t="s">
        <v>153</v>
      </c>
      <c r="D31" s="1" t="s">
        <v>154</v>
      </c>
    </row>
    <row r="32" spans="1:4" hidden="1" x14ac:dyDescent="0.3">
      <c r="A32" s="1" t="s">
        <v>155</v>
      </c>
      <c r="B32" s="1" t="s">
        <v>156</v>
      </c>
      <c r="C32" s="1">
        <v>0</v>
      </c>
      <c r="D32" s="1">
        <v>0</v>
      </c>
    </row>
    <row r="33" spans="1:4" hidden="1" x14ac:dyDescent="0.3">
      <c r="B33" s="1" t="s">
        <v>156</v>
      </c>
      <c r="D33" s="1">
        <v>0</v>
      </c>
    </row>
    <row r="34" spans="1:4" hidden="1" x14ac:dyDescent="0.3">
      <c r="A34" s="1" t="s">
        <v>157</v>
      </c>
      <c r="B34" s="1" t="s">
        <v>158</v>
      </c>
      <c r="C34" s="1">
        <v>1</v>
      </c>
      <c r="D34" s="1">
        <v>150</v>
      </c>
    </row>
    <row r="35" spans="1:4" hidden="1" x14ac:dyDescent="0.3">
      <c r="B35" s="1" t="s">
        <v>160</v>
      </c>
      <c r="D35" s="1">
        <v>150</v>
      </c>
    </row>
    <row r="36" spans="1:4" hidden="1" x14ac:dyDescent="0.3">
      <c r="A36" s="1" t="s">
        <v>159</v>
      </c>
      <c r="B36" s="1" t="s">
        <v>158</v>
      </c>
      <c r="C36" s="1">
        <v>3</v>
      </c>
      <c r="D36" s="1">
        <v>450</v>
      </c>
    </row>
    <row r="37" spans="1:4" hidden="1" x14ac:dyDescent="0.3">
      <c r="B37" s="1" t="s">
        <v>162</v>
      </c>
      <c r="D37" s="1">
        <v>600</v>
      </c>
    </row>
    <row r="38" spans="1:4" hidden="1" x14ac:dyDescent="0.3">
      <c r="A38" s="1" t="s">
        <v>161</v>
      </c>
      <c r="B38" s="1" t="s">
        <v>158</v>
      </c>
      <c r="C38" s="1">
        <v>8</v>
      </c>
      <c r="D38" s="2">
        <v>1200</v>
      </c>
    </row>
    <row r="39" spans="1:4" hidden="1" x14ac:dyDescent="0.3">
      <c r="B39" s="1" t="s">
        <v>164</v>
      </c>
      <c r="D39" s="2">
        <v>1800</v>
      </c>
    </row>
    <row r="40" spans="1:4" hidden="1" x14ac:dyDescent="0.3">
      <c r="A40" s="1" t="s">
        <v>163</v>
      </c>
      <c r="B40" s="1" t="s">
        <v>165</v>
      </c>
      <c r="C40" s="1">
        <v>14</v>
      </c>
      <c r="D40" s="2">
        <v>2800</v>
      </c>
    </row>
    <row r="41" spans="1:4" hidden="1" x14ac:dyDescent="0.3">
      <c r="B41" s="1" t="s">
        <v>167</v>
      </c>
      <c r="D41" s="2">
        <v>4600</v>
      </c>
    </row>
    <row r="42" spans="1:4" hidden="1" x14ac:dyDescent="0.3">
      <c r="A42" s="1" t="s">
        <v>166</v>
      </c>
      <c r="B42" s="1" t="s">
        <v>168</v>
      </c>
      <c r="C42" s="1">
        <v>21</v>
      </c>
      <c r="D42" s="2">
        <v>6300</v>
      </c>
    </row>
    <row r="43" spans="1:4" hidden="1" x14ac:dyDescent="0.3">
      <c r="B43" s="1" t="s">
        <v>170</v>
      </c>
      <c r="D43" s="2">
        <v>10900</v>
      </c>
    </row>
    <row r="44" spans="1:4" hidden="1" x14ac:dyDescent="0.3">
      <c r="A44" s="1" t="s">
        <v>169</v>
      </c>
      <c r="B44" s="1" t="s">
        <v>171</v>
      </c>
      <c r="C44" s="1">
        <v>24</v>
      </c>
      <c r="D44" s="2">
        <v>36000</v>
      </c>
    </row>
    <row r="45" spans="1:4" hidden="1" x14ac:dyDescent="0.3">
      <c r="B45" s="1" t="s">
        <v>173</v>
      </c>
      <c r="D45" s="2">
        <v>46900</v>
      </c>
    </row>
    <row r="46" spans="1:4" hidden="1" x14ac:dyDescent="0.3">
      <c r="A46" s="1" t="s">
        <v>172</v>
      </c>
      <c r="B46" s="1" t="s">
        <v>171</v>
      </c>
      <c r="C46" s="1">
        <v>24.5</v>
      </c>
      <c r="D46" s="2">
        <v>36750</v>
      </c>
    </row>
    <row r="47" spans="1:4" hidden="1" x14ac:dyDescent="0.3">
      <c r="B47" s="1" t="s">
        <v>175</v>
      </c>
      <c r="D47" s="2">
        <v>83650</v>
      </c>
    </row>
    <row r="48" spans="1:4" hidden="1" x14ac:dyDescent="0.3">
      <c r="A48" s="1" t="s">
        <v>174</v>
      </c>
      <c r="B48" s="1" t="s">
        <v>176</v>
      </c>
      <c r="C48" s="1">
        <v>25</v>
      </c>
      <c r="D48" s="2">
        <v>50000</v>
      </c>
    </row>
    <row r="49" spans="1:4" hidden="1" x14ac:dyDescent="0.3">
      <c r="B49" s="1" t="s">
        <v>178</v>
      </c>
      <c r="D49" s="2">
        <v>133650</v>
      </c>
    </row>
    <row r="50" spans="1:4" hidden="1" x14ac:dyDescent="0.3">
      <c r="A50" s="1" t="s">
        <v>177</v>
      </c>
      <c r="B50" s="1" t="s">
        <v>179</v>
      </c>
      <c r="C50" s="1">
        <v>26</v>
      </c>
      <c r="D50" s="1" t="s">
        <v>188</v>
      </c>
    </row>
    <row r="51" spans="1:4" hidden="1" x14ac:dyDescent="0.3">
      <c r="B51" s="1" t="s">
        <v>181</v>
      </c>
      <c r="D51" s="2">
        <v>237650</v>
      </c>
    </row>
    <row r="52" spans="1:4" hidden="1" x14ac:dyDescent="0.3">
      <c r="A52" s="1" t="s">
        <v>189</v>
      </c>
      <c r="B52" s="1" t="s">
        <v>185</v>
      </c>
      <c r="C52" s="1">
        <v>28</v>
      </c>
      <c r="D52" s="1" t="s">
        <v>186</v>
      </c>
    </row>
    <row r="53" spans="1:4" hidden="1" x14ac:dyDescent="0.3"/>
    <row r="54" spans="1:4" hidden="1" x14ac:dyDescent="0.3">
      <c r="A54" s="1" t="s">
        <v>190</v>
      </c>
    </row>
    <row r="55" spans="1:4" hidden="1" x14ac:dyDescent="0.3"/>
    <row r="56" spans="1:4" hidden="1" x14ac:dyDescent="0.3">
      <c r="A56" s="1" t="s">
        <v>151</v>
      </c>
      <c r="B56" s="1" t="s">
        <v>152</v>
      </c>
      <c r="C56" s="1" t="s">
        <v>153</v>
      </c>
      <c r="D56" s="1" t="s">
        <v>154</v>
      </c>
    </row>
    <row r="57" spans="1:4" hidden="1" x14ac:dyDescent="0.3">
      <c r="A57" s="1" t="s">
        <v>155</v>
      </c>
      <c r="B57" s="1" t="s">
        <v>191</v>
      </c>
      <c r="C57" s="1">
        <v>0</v>
      </c>
      <c r="D57" s="1">
        <v>0</v>
      </c>
    </row>
    <row r="58" spans="1:4" hidden="1" x14ac:dyDescent="0.3">
      <c r="B58" s="1" t="s">
        <v>156</v>
      </c>
      <c r="D58" s="1">
        <v>0</v>
      </c>
    </row>
    <row r="59" spans="1:4" hidden="1" x14ac:dyDescent="0.3">
      <c r="A59" s="1" t="s">
        <v>157</v>
      </c>
      <c r="B59" s="1" t="s">
        <v>158</v>
      </c>
      <c r="C59" s="1">
        <v>1</v>
      </c>
      <c r="D59" s="1">
        <v>150</v>
      </c>
    </row>
    <row r="60" spans="1:4" hidden="1" x14ac:dyDescent="0.3">
      <c r="B60" s="1" t="s">
        <v>160</v>
      </c>
      <c r="D60" s="1">
        <v>150</v>
      </c>
    </row>
    <row r="61" spans="1:4" hidden="1" x14ac:dyDescent="0.3">
      <c r="A61" s="1" t="s">
        <v>159</v>
      </c>
      <c r="B61" s="1" t="s">
        <v>158</v>
      </c>
      <c r="C61" s="1">
        <v>5</v>
      </c>
      <c r="D61" s="1">
        <v>750</v>
      </c>
    </row>
    <row r="62" spans="1:4" hidden="1" x14ac:dyDescent="0.3">
      <c r="B62" s="1" t="s">
        <v>162</v>
      </c>
      <c r="D62" s="1">
        <v>900</v>
      </c>
    </row>
    <row r="63" spans="1:4" hidden="1" x14ac:dyDescent="0.3">
      <c r="A63" s="1" t="s">
        <v>161</v>
      </c>
      <c r="B63" s="1" t="s">
        <v>158</v>
      </c>
      <c r="C63" s="1">
        <v>10</v>
      </c>
      <c r="D63" s="2">
        <v>1500</v>
      </c>
    </row>
    <row r="64" spans="1:4" hidden="1" x14ac:dyDescent="0.3">
      <c r="B64" s="1" t="s">
        <v>164</v>
      </c>
      <c r="D64" s="2">
        <v>2400</v>
      </c>
    </row>
    <row r="65" spans="1:4" hidden="1" x14ac:dyDescent="0.3">
      <c r="A65" s="1" t="s">
        <v>163</v>
      </c>
      <c r="B65" s="1" t="s">
        <v>165</v>
      </c>
      <c r="C65" s="1">
        <v>16</v>
      </c>
      <c r="D65" s="2">
        <v>3200</v>
      </c>
    </row>
    <row r="66" spans="1:4" hidden="1" x14ac:dyDescent="0.3">
      <c r="B66" s="1" t="s">
        <v>167</v>
      </c>
      <c r="D66" s="2">
        <v>5600</v>
      </c>
    </row>
    <row r="67" spans="1:4" hidden="1" x14ac:dyDescent="0.3">
      <c r="A67" s="1" t="s">
        <v>166</v>
      </c>
      <c r="B67" s="1" t="s">
        <v>168</v>
      </c>
      <c r="C67" s="1">
        <v>21</v>
      </c>
      <c r="D67" s="2">
        <v>6300</v>
      </c>
    </row>
    <row r="68" spans="1:4" hidden="1" x14ac:dyDescent="0.3">
      <c r="B68" s="1" t="s">
        <v>170</v>
      </c>
      <c r="D68" s="2">
        <v>11900</v>
      </c>
    </row>
    <row r="69" spans="1:4" hidden="1" x14ac:dyDescent="0.3">
      <c r="A69" s="1" t="s">
        <v>169</v>
      </c>
      <c r="B69" s="1" t="s">
        <v>171</v>
      </c>
      <c r="C69" s="1">
        <v>24</v>
      </c>
      <c r="D69" s="2">
        <v>36000</v>
      </c>
    </row>
    <row r="70" spans="1:4" hidden="1" x14ac:dyDescent="0.3">
      <c r="B70" s="1" t="s">
        <v>173</v>
      </c>
      <c r="D70" s="2">
        <v>47900</v>
      </c>
    </row>
    <row r="71" spans="1:4" hidden="1" x14ac:dyDescent="0.3">
      <c r="A71" s="1" t="s">
        <v>172</v>
      </c>
      <c r="B71" s="1" t="s">
        <v>171</v>
      </c>
      <c r="C71" s="1">
        <v>24.5</v>
      </c>
      <c r="D71" s="2">
        <v>36750</v>
      </c>
    </row>
    <row r="72" spans="1:4" hidden="1" x14ac:dyDescent="0.3">
      <c r="B72" s="1" t="s">
        <v>175</v>
      </c>
      <c r="D72" s="2">
        <v>84650</v>
      </c>
    </row>
    <row r="73" spans="1:4" hidden="1" x14ac:dyDescent="0.3">
      <c r="A73" s="1" t="s">
        <v>174</v>
      </c>
      <c r="B73" s="1" t="s">
        <v>176</v>
      </c>
      <c r="C73" s="1">
        <v>25</v>
      </c>
      <c r="D73" s="2">
        <v>50000</v>
      </c>
    </row>
    <row r="74" spans="1:4" hidden="1" x14ac:dyDescent="0.3">
      <c r="B74" s="1" t="s">
        <v>178</v>
      </c>
      <c r="D74" s="2">
        <v>134650</v>
      </c>
    </row>
    <row r="75" spans="1:4" hidden="1" x14ac:dyDescent="0.3">
      <c r="A75" s="1" t="s">
        <v>177</v>
      </c>
      <c r="B75" s="1" t="s">
        <v>179</v>
      </c>
      <c r="C75" s="1">
        <v>26</v>
      </c>
      <c r="D75" s="1" t="s">
        <v>188</v>
      </c>
    </row>
    <row r="76" spans="1:4" hidden="1" x14ac:dyDescent="0.3">
      <c r="B76" s="1" t="s">
        <v>181</v>
      </c>
      <c r="D76" s="2">
        <v>238650</v>
      </c>
    </row>
    <row r="77" spans="1:4" hidden="1" x14ac:dyDescent="0.3">
      <c r="A77" s="1" t="s">
        <v>189</v>
      </c>
      <c r="B77" s="1" t="s">
        <v>185</v>
      </c>
      <c r="C77" s="1">
        <v>28</v>
      </c>
      <c r="D77" s="1" t="s">
        <v>186</v>
      </c>
    </row>
    <row r="78" spans="1:4" hidden="1" x14ac:dyDescent="0.3"/>
    <row r="79" spans="1:4" hidden="1" x14ac:dyDescent="0.3">
      <c r="A79" s="1" t="s">
        <v>192</v>
      </c>
    </row>
    <row r="80" spans="1:4" hidden="1" x14ac:dyDescent="0.3"/>
    <row r="81" spans="1:4" hidden="1" x14ac:dyDescent="0.3">
      <c r="A81" s="1" t="s">
        <v>151</v>
      </c>
      <c r="B81" s="1" t="s">
        <v>152</v>
      </c>
      <c r="C81" s="1" t="s">
        <v>153</v>
      </c>
      <c r="D81" s="1" t="s">
        <v>154</v>
      </c>
    </row>
    <row r="82" spans="1:4" hidden="1" x14ac:dyDescent="0.3">
      <c r="A82" s="1" t="s">
        <v>193</v>
      </c>
      <c r="B82" s="1" t="s">
        <v>191</v>
      </c>
      <c r="C82" s="1">
        <v>0</v>
      </c>
      <c r="D82" s="1">
        <v>0</v>
      </c>
    </row>
    <row r="83" spans="1:4" hidden="1" x14ac:dyDescent="0.3">
      <c r="A83" s="1" t="s">
        <v>194</v>
      </c>
      <c r="B83" s="1" t="s">
        <v>195</v>
      </c>
      <c r="C83" s="1">
        <v>0</v>
      </c>
      <c r="D83" s="1">
        <v>0</v>
      </c>
    </row>
    <row r="84" spans="1:4" hidden="1" x14ac:dyDescent="0.3">
      <c r="A84" s="1" t="s">
        <v>196</v>
      </c>
      <c r="B84" s="1" t="s">
        <v>156</v>
      </c>
      <c r="D84" s="1">
        <v>0</v>
      </c>
    </row>
    <row r="85" spans="1:4" hidden="1" x14ac:dyDescent="0.3">
      <c r="B85" s="1" t="s">
        <v>197</v>
      </c>
      <c r="C85" s="1">
        <v>1</v>
      </c>
      <c r="D85" s="1">
        <v>50</v>
      </c>
    </row>
    <row r="86" spans="1:4" hidden="1" x14ac:dyDescent="0.3">
      <c r="A86" s="1" t="s">
        <v>198</v>
      </c>
      <c r="B86" s="1" t="s">
        <v>199</v>
      </c>
      <c r="D86" s="1">
        <v>50</v>
      </c>
    </row>
    <row r="87" spans="1:4" hidden="1" x14ac:dyDescent="0.3">
      <c r="B87" s="1" t="s">
        <v>200</v>
      </c>
      <c r="C87" s="1">
        <v>1</v>
      </c>
      <c r="D87" s="1">
        <v>100</v>
      </c>
    </row>
    <row r="88" spans="1:4" hidden="1" x14ac:dyDescent="0.3">
      <c r="A88" s="1" t="s">
        <v>159</v>
      </c>
      <c r="B88" s="1" t="s">
        <v>160</v>
      </c>
      <c r="D88" s="1">
        <v>150</v>
      </c>
    </row>
    <row r="89" spans="1:4" hidden="1" x14ac:dyDescent="0.3">
      <c r="B89" s="1" t="s">
        <v>158</v>
      </c>
      <c r="C89" s="1">
        <v>5</v>
      </c>
      <c r="D89" s="1">
        <v>750</v>
      </c>
    </row>
    <row r="90" spans="1:4" hidden="1" x14ac:dyDescent="0.3">
      <c r="A90" s="1" t="s">
        <v>161</v>
      </c>
      <c r="B90" s="1" t="s">
        <v>162</v>
      </c>
      <c r="D90" s="1">
        <v>900</v>
      </c>
    </row>
    <row r="91" spans="1:4" hidden="1" x14ac:dyDescent="0.3">
      <c r="B91" s="1" t="s">
        <v>158</v>
      </c>
      <c r="C91" s="1">
        <v>10</v>
      </c>
      <c r="D91" s="2">
        <v>1500</v>
      </c>
    </row>
    <row r="92" spans="1:4" hidden="1" x14ac:dyDescent="0.3">
      <c r="A92" s="1" t="s">
        <v>163</v>
      </c>
      <c r="B92" s="1" t="s">
        <v>164</v>
      </c>
      <c r="D92" s="2">
        <v>2400</v>
      </c>
    </row>
    <row r="93" spans="1:4" hidden="1" x14ac:dyDescent="0.3">
      <c r="B93" s="1" t="s">
        <v>165</v>
      </c>
      <c r="C93" s="1">
        <v>16</v>
      </c>
      <c r="D93" s="2">
        <v>3200</v>
      </c>
    </row>
    <row r="94" spans="1:4" hidden="1" x14ac:dyDescent="0.3">
      <c r="A94" s="1" t="s">
        <v>166</v>
      </c>
      <c r="B94" s="1" t="s">
        <v>167</v>
      </c>
      <c r="D94" s="2">
        <v>5600</v>
      </c>
    </row>
    <row r="95" spans="1:4" hidden="1" x14ac:dyDescent="0.3">
      <c r="B95" s="1" t="s">
        <v>168</v>
      </c>
      <c r="C95" s="1">
        <v>21</v>
      </c>
      <c r="D95" s="2">
        <v>6300</v>
      </c>
    </row>
    <row r="96" spans="1:4" hidden="1" x14ac:dyDescent="0.3">
      <c r="A96" s="1" t="s">
        <v>201</v>
      </c>
      <c r="B96" s="1" t="s">
        <v>170</v>
      </c>
      <c r="D96" s="2">
        <v>11900</v>
      </c>
    </row>
    <row r="97" spans="1:4" hidden="1" x14ac:dyDescent="0.3">
      <c r="B97" s="1" t="s">
        <v>202</v>
      </c>
      <c r="C97" s="1">
        <v>24</v>
      </c>
      <c r="D97" s="2">
        <v>12000</v>
      </c>
    </row>
    <row r="98" spans="1:4" hidden="1" x14ac:dyDescent="0.3">
      <c r="A98" s="1" t="s">
        <v>203</v>
      </c>
      <c r="B98" s="1" t="s">
        <v>204</v>
      </c>
      <c r="D98" s="2">
        <v>23900</v>
      </c>
    </row>
    <row r="99" spans="1:4" hidden="1" x14ac:dyDescent="0.3">
      <c r="B99" s="1" t="s">
        <v>205</v>
      </c>
      <c r="C99" s="1">
        <v>24</v>
      </c>
      <c r="D99" s="2">
        <v>24000</v>
      </c>
    </row>
    <row r="100" spans="1:4" hidden="1" x14ac:dyDescent="0.3">
      <c r="A100" s="1" t="s">
        <v>172</v>
      </c>
      <c r="B100" s="1" t="s">
        <v>173</v>
      </c>
      <c r="D100" s="2">
        <v>47900</v>
      </c>
    </row>
    <row r="101" spans="1:4" hidden="1" x14ac:dyDescent="0.3">
      <c r="B101" s="1" t="s">
        <v>171</v>
      </c>
      <c r="C101" s="1">
        <v>24.5</v>
      </c>
      <c r="D101" s="2">
        <v>36750</v>
      </c>
    </row>
    <row r="102" spans="1:4" hidden="1" x14ac:dyDescent="0.3">
      <c r="A102" s="1" t="s">
        <v>206</v>
      </c>
      <c r="B102" s="1" t="s">
        <v>175</v>
      </c>
      <c r="D102" s="2">
        <v>84650</v>
      </c>
    </row>
    <row r="103" spans="1:4" hidden="1" x14ac:dyDescent="0.3">
      <c r="B103" s="1" t="s">
        <v>207</v>
      </c>
      <c r="C103" s="1">
        <v>25</v>
      </c>
      <c r="D103" s="1" t="s">
        <v>186</v>
      </c>
    </row>
    <row r="104" spans="1:4" hidden="1" x14ac:dyDescent="0.3"/>
    <row r="105" spans="1:4" hidden="1" x14ac:dyDescent="0.3">
      <c r="A105" s="1" t="s">
        <v>208</v>
      </c>
    </row>
    <row r="106" spans="1:4" hidden="1" x14ac:dyDescent="0.3"/>
    <row r="107" spans="1:4" hidden="1" x14ac:dyDescent="0.3">
      <c r="A107" s="1" t="s">
        <v>151</v>
      </c>
      <c r="B107" s="1" t="s">
        <v>152</v>
      </c>
      <c r="C107" s="1" t="s">
        <v>153</v>
      </c>
      <c r="D107" s="1" t="s">
        <v>154</v>
      </c>
    </row>
    <row r="108" spans="1:4" hidden="1" x14ac:dyDescent="0.3">
      <c r="A108" s="1" t="s">
        <v>209</v>
      </c>
      <c r="B108" s="1" t="s">
        <v>191</v>
      </c>
      <c r="C108" s="1">
        <v>0</v>
      </c>
      <c r="D108" s="1">
        <v>0</v>
      </c>
    </row>
    <row r="109" spans="1:4" hidden="1" x14ac:dyDescent="0.3">
      <c r="A109" s="1" t="s">
        <v>210</v>
      </c>
      <c r="B109" s="1" t="s">
        <v>195</v>
      </c>
      <c r="C109" s="1">
        <v>0</v>
      </c>
      <c r="D109" s="1">
        <v>0</v>
      </c>
    </row>
    <row r="110" spans="1:4" hidden="1" x14ac:dyDescent="0.3">
      <c r="A110" s="1" t="s">
        <v>211</v>
      </c>
      <c r="B110" s="1" t="s">
        <v>156</v>
      </c>
      <c r="D110" s="1">
        <v>0</v>
      </c>
    </row>
    <row r="111" spans="1:4" hidden="1" x14ac:dyDescent="0.3">
      <c r="B111" s="1" t="s">
        <v>197</v>
      </c>
      <c r="C111" s="1">
        <v>2</v>
      </c>
      <c r="D111" s="1">
        <v>100</v>
      </c>
    </row>
    <row r="112" spans="1:4" hidden="1" x14ac:dyDescent="0.3">
      <c r="A112" s="1" t="s">
        <v>212</v>
      </c>
      <c r="B112" s="1" t="s">
        <v>199</v>
      </c>
      <c r="D112" s="1">
        <v>100</v>
      </c>
    </row>
    <row r="113" spans="1:4" hidden="1" x14ac:dyDescent="0.3">
      <c r="B113" s="1" t="s">
        <v>200</v>
      </c>
      <c r="C113" s="1">
        <v>2</v>
      </c>
      <c r="D113" s="1">
        <v>200</v>
      </c>
    </row>
    <row r="114" spans="1:4" hidden="1" x14ac:dyDescent="0.3">
      <c r="A114" s="1" t="s">
        <v>213</v>
      </c>
      <c r="B114" s="1" t="s">
        <v>160</v>
      </c>
      <c r="D114" s="1">
        <v>300</v>
      </c>
    </row>
    <row r="115" spans="1:4" hidden="1" x14ac:dyDescent="0.3">
      <c r="B115" s="1" t="s">
        <v>158</v>
      </c>
      <c r="C115" s="1">
        <v>6</v>
      </c>
      <c r="D115" s="1">
        <v>900</v>
      </c>
    </row>
    <row r="116" spans="1:4" hidden="1" x14ac:dyDescent="0.3">
      <c r="A116" s="1" t="s">
        <v>214</v>
      </c>
      <c r="B116" s="1" t="s">
        <v>162</v>
      </c>
      <c r="D116" s="2">
        <v>1200</v>
      </c>
    </row>
    <row r="117" spans="1:4" hidden="1" x14ac:dyDescent="0.3">
      <c r="B117" s="1" t="s">
        <v>158</v>
      </c>
      <c r="C117" s="1">
        <v>11</v>
      </c>
      <c r="D117" s="2">
        <v>1650</v>
      </c>
    </row>
    <row r="118" spans="1:4" hidden="1" x14ac:dyDescent="0.3">
      <c r="A118" s="1" t="s">
        <v>215</v>
      </c>
      <c r="B118" s="1" t="s">
        <v>164</v>
      </c>
      <c r="D118" s="2">
        <v>2850</v>
      </c>
    </row>
    <row r="119" spans="1:4" hidden="1" x14ac:dyDescent="0.3">
      <c r="B119" s="1" t="s">
        <v>165</v>
      </c>
      <c r="C119" s="1">
        <v>19</v>
      </c>
      <c r="D119" s="2">
        <v>3800</v>
      </c>
    </row>
    <row r="120" spans="1:4" hidden="1" x14ac:dyDescent="0.3">
      <c r="A120" s="1" t="s">
        <v>216</v>
      </c>
      <c r="B120" s="1" t="s">
        <v>167</v>
      </c>
      <c r="D120" s="2">
        <v>6650</v>
      </c>
    </row>
    <row r="121" spans="1:4" hidden="1" x14ac:dyDescent="0.3">
      <c r="B121" s="1" t="s">
        <v>168</v>
      </c>
      <c r="C121" s="1">
        <v>24</v>
      </c>
      <c r="D121" s="2">
        <v>7200</v>
      </c>
    </row>
    <row r="122" spans="1:4" hidden="1" x14ac:dyDescent="0.3">
      <c r="A122" s="1" t="s">
        <v>217</v>
      </c>
      <c r="B122" s="1" t="s">
        <v>170</v>
      </c>
      <c r="D122" s="2">
        <v>13850</v>
      </c>
    </row>
    <row r="123" spans="1:4" hidden="1" x14ac:dyDescent="0.3">
      <c r="B123" s="1" t="s">
        <v>207</v>
      </c>
      <c r="C123" s="1">
        <v>26</v>
      </c>
      <c r="D123" s="1" t="s">
        <v>186</v>
      </c>
    </row>
    <row r="124" spans="1:4" hidden="1" x14ac:dyDescent="0.3"/>
    <row r="125" spans="1:4" hidden="1" x14ac:dyDescent="0.3">
      <c r="A125" s="1" t="s">
        <v>218</v>
      </c>
    </row>
    <row r="126" spans="1:4" hidden="1" x14ac:dyDescent="0.3"/>
    <row r="127" spans="1:4" hidden="1" x14ac:dyDescent="0.3">
      <c r="A127" s="1" t="s">
        <v>151</v>
      </c>
      <c r="B127" s="1" t="s">
        <v>152</v>
      </c>
      <c r="C127" s="1" t="s">
        <v>153</v>
      </c>
      <c r="D127" s="1" t="s">
        <v>154</v>
      </c>
    </row>
    <row r="128" spans="1:4" hidden="1" x14ac:dyDescent="0.3">
      <c r="A128" s="1" t="s">
        <v>209</v>
      </c>
      <c r="B128" s="1" t="s">
        <v>191</v>
      </c>
      <c r="C128" s="1">
        <v>0</v>
      </c>
      <c r="D128" s="1">
        <v>0</v>
      </c>
    </row>
    <row r="129" spans="1:4" hidden="1" x14ac:dyDescent="0.3">
      <c r="A129" s="1" t="s">
        <v>210</v>
      </c>
      <c r="B129" s="1" t="s">
        <v>195</v>
      </c>
      <c r="C129" s="1">
        <v>1</v>
      </c>
      <c r="D129" s="1">
        <v>25</v>
      </c>
    </row>
    <row r="130" spans="1:4" hidden="1" x14ac:dyDescent="0.3">
      <c r="A130" s="1" t="s">
        <v>211</v>
      </c>
      <c r="B130" s="1" t="s">
        <v>156</v>
      </c>
      <c r="D130" s="1">
        <v>25</v>
      </c>
    </row>
    <row r="131" spans="1:4" hidden="1" x14ac:dyDescent="0.3">
      <c r="B131" s="1" t="s">
        <v>197</v>
      </c>
      <c r="C131" s="1">
        <v>3</v>
      </c>
      <c r="D131" s="1">
        <v>150</v>
      </c>
    </row>
    <row r="132" spans="1:4" hidden="1" x14ac:dyDescent="0.3">
      <c r="A132" s="1" t="s">
        <v>212</v>
      </c>
      <c r="B132" s="1" t="s">
        <v>199</v>
      </c>
      <c r="D132" s="1">
        <v>175</v>
      </c>
    </row>
    <row r="133" spans="1:4" hidden="1" x14ac:dyDescent="0.3">
      <c r="B133" s="1" t="s">
        <v>200</v>
      </c>
      <c r="C133" s="1">
        <v>3</v>
      </c>
      <c r="D133" s="1">
        <v>300</v>
      </c>
    </row>
    <row r="134" spans="1:4" hidden="1" x14ac:dyDescent="0.3">
      <c r="A134" s="1" t="s">
        <v>213</v>
      </c>
      <c r="B134" s="1" t="s">
        <v>160</v>
      </c>
      <c r="D134" s="1">
        <v>475</v>
      </c>
    </row>
    <row r="135" spans="1:4" hidden="1" x14ac:dyDescent="0.3">
      <c r="B135" s="1" t="s">
        <v>158</v>
      </c>
      <c r="C135" s="1">
        <v>7</v>
      </c>
      <c r="D135" s="2">
        <v>1050</v>
      </c>
    </row>
    <row r="136" spans="1:4" hidden="1" x14ac:dyDescent="0.3">
      <c r="A136" s="1" t="s">
        <v>214</v>
      </c>
      <c r="B136" s="1" t="s">
        <v>162</v>
      </c>
      <c r="D136" s="2">
        <v>1525</v>
      </c>
    </row>
    <row r="137" spans="1:4" hidden="1" x14ac:dyDescent="0.3">
      <c r="B137" s="1" t="s">
        <v>158</v>
      </c>
      <c r="C137" s="1">
        <v>12</v>
      </c>
      <c r="D137" s="2">
        <v>1800</v>
      </c>
    </row>
    <row r="138" spans="1:4" hidden="1" x14ac:dyDescent="0.3">
      <c r="A138" s="1" t="s">
        <v>215</v>
      </c>
      <c r="B138" s="1" t="s">
        <v>164</v>
      </c>
      <c r="D138" s="2">
        <v>3325</v>
      </c>
    </row>
    <row r="139" spans="1:4" hidden="1" x14ac:dyDescent="0.3">
      <c r="B139" s="1" t="s">
        <v>165</v>
      </c>
      <c r="C139" s="1">
        <v>19</v>
      </c>
      <c r="D139" s="2">
        <v>3800</v>
      </c>
    </row>
    <row r="140" spans="1:4" hidden="1" x14ac:dyDescent="0.3">
      <c r="A140" s="1" t="s">
        <v>216</v>
      </c>
      <c r="B140" s="1" t="s">
        <v>167</v>
      </c>
      <c r="D140" s="2">
        <v>7125</v>
      </c>
    </row>
    <row r="141" spans="1:4" hidden="1" x14ac:dyDescent="0.3">
      <c r="B141" s="1" t="s">
        <v>168</v>
      </c>
      <c r="C141" s="1">
        <v>24</v>
      </c>
      <c r="D141" s="2">
        <v>7200</v>
      </c>
    </row>
    <row r="142" spans="1:4" hidden="1" x14ac:dyDescent="0.3">
      <c r="A142" s="1" t="s">
        <v>217</v>
      </c>
      <c r="B142" s="1" t="s">
        <v>170</v>
      </c>
      <c r="D142" s="2">
        <v>14325</v>
      </c>
    </row>
    <row r="143" spans="1:4" hidden="1" x14ac:dyDescent="0.3">
      <c r="B143" s="1" t="s">
        <v>207</v>
      </c>
      <c r="C143" s="1">
        <v>26</v>
      </c>
      <c r="D143" s="1" t="s">
        <v>186</v>
      </c>
    </row>
    <row r="144" spans="1:4" hidden="1" x14ac:dyDescent="0.3"/>
    <row r="145" spans="1:4" hidden="1" x14ac:dyDescent="0.3">
      <c r="A145" s="1" t="s">
        <v>219</v>
      </c>
    </row>
    <row r="146" spans="1:4" hidden="1" x14ac:dyDescent="0.3"/>
    <row r="147" spans="1:4" hidden="1" x14ac:dyDescent="0.3">
      <c r="A147" s="1" t="s">
        <v>151</v>
      </c>
      <c r="B147" s="1" t="s">
        <v>152</v>
      </c>
      <c r="C147" s="1" t="s">
        <v>153</v>
      </c>
      <c r="D147" s="1" t="s">
        <v>154</v>
      </c>
    </row>
    <row r="148" spans="1:4" hidden="1" x14ac:dyDescent="0.3">
      <c r="A148" s="1" t="s">
        <v>209</v>
      </c>
      <c r="B148" s="1" t="s">
        <v>191</v>
      </c>
      <c r="C148" s="1">
        <v>0</v>
      </c>
      <c r="D148" s="1">
        <v>0</v>
      </c>
    </row>
    <row r="149" spans="1:4" hidden="1" x14ac:dyDescent="0.3">
      <c r="A149" s="1" t="s">
        <v>210</v>
      </c>
      <c r="B149" s="1" t="s">
        <v>195</v>
      </c>
      <c r="C149" s="1">
        <v>1</v>
      </c>
      <c r="D149" s="1">
        <v>25</v>
      </c>
    </row>
    <row r="150" spans="1:4" hidden="1" x14ac:dyDescent="0.3">
      <c r="A150" s="1" t="s">
        <v>211</v>
      </c>
      <c r="B150" s="1" t="s">
        <v>156</v>
      </c>
      <c r="D150" s="1">
        <v>25</v>
      </c>
    </row>
    <row r="151" spans="1:4" hidden="1" x14ac:dyDescent="0.3">
      <c r="B151" s="1" t="s">
        <v>197</v>
      </c>
      <c r="C151" s="1">
        <v>3</v>
      </c>
      <c r="D151" s="1">
        <v>150</v>
      </c>
    </row>
    <row r="152" spans="1:4" hidden="1" x14ac:dyDescent="0.3">
      <c r="A152" s="1" t="s">
        <v>212</v>
      </c>
      <c r="B152" s="1" t="s">
        <v>199</v>
      </c>
      <c r="D152" s="1">
        <v>175</v>
      </c>
    </row>
    <row r="153" spans="1:4" hidden="1" x14ac:dyDescent="0.3">
      <c r="B153" s="1" t="s">
        <v>200</v>
      </c>
      <c r="C153" s="1">
        <v>3</v>
      </c>
      <c r="D153" s="1">
        <v>300</v>
      </c>
    </row>
    <row r="154" spans="1:4" hidden="1" x14ac:dyDescent="0.3">
      <c r="A154" s="1" t="s">
        <v>213</v>
      </c>
      <c r="B154" s="1" t="s">
        <v>160</v>
      </c>
      <c r="D154" s="1">
        <v>475</v>
      </c>
    </row>
    <row r="155" spans="1:4" hidden="1" x14ac:dyDescent="0.3">
      <c r="B155" s="1" t="s">
        <v>158</v>
      </c>
      <c r="C155" s="1">
        <v>7</v>
      </c>
      <c r="D155" s="2">
        <v>1050</v>
      </c>
    </row>
    <row r="156" spans="1:4" hidden="1" x14ac:dyDescent="0.3">
      <c r="A156" s="1" t="s">
        <v>214</v>
      </c>
      <c r="B156" s="1" t="s">
        <v>162</v>
      </c>
      <c r="D156" s="2">
        <v>1525</v>
      </c>
    </row>
    <row r="157" spans="1:4" hidden="1" x14ac:dyDescent="0.3">
      <c r="B157" s="1" t="s">
        <v>158</v>
      </c>
      <c r="C157" s="1">
        <v>12</v>
      </c>
      <c r="D157" s="2">
        <v>1800</v>
      </c>
    </row>
    <row r="158" spans="1:4" hidden="1" x14ac:dyDescent="0.3">
      <c r="A158" s="1" t="s">
        <v>215</v>
      </c>
      <c r="B158" s="1" t="s">
        <v>164</v>
      </c>
      <c r="D158" s="2">
        <v>3325</v>
      </c>
    </row>
    <row r="159" spans="1:4" hidden="1" x14ac:dyDescent="0.3">
      <c r="B159" s="1" t="s">
        <v>165</v>
      </c>
      <c r="C159" s="1">
        <v>19</v>
      </c>
      <c r="D159" s="2">
        <v>3800</v>
      </c>
    </row>
    <row r="160" spans="1:4" hidden="1" x14ac:dyDescent="0.3">
      <c r="A160" s="1" t="s">
        <v>216</v>
      </c>
      <c r="B160" s="1" t="s">
        <v>167</v>
      </c>
      <c r="D160" s="2">
        <v>7125</v>
      </c>
    </row>
    <row r="161" spans="1:4" hidden="1" x14ac:dyDescent="0.3">
      <c r="B161" s="1" t="s">
        <v>168</v>
      </c>
      <c r="C161" s="1">
        <v>24</v>
      </c>
      <c r="D161" s="2">
        <v>7200</v>
      </c>
    </row>
    <row r="162" spans="1:4" hidden="1" x14ac:dyDescent="0.3">
      <c r="A162" s="1" t="s">
        <v>220</v>
      </c>
      <c r="B162" s="1" t="s">
        <v>170</v>
      </c>
      <c r="D162" s="2">
        <v>14325</v>
      </c>
    </row>
    <row r="163" spans="1:4" hidden="1" x14ac:dyDescent="0.3">
      <c r="B163" s="1" t="s">
        <v>202</v>
      </c>
      <c r="C163" s="1">
        <v>27</v>
      </c>
      <c r="D163" s="2">
        <v>13500</v>
      </c>
    </row>
    <row r="164" spans="1:4" hidden="1" x14ac:dyDescent="0.3">
      <c r="A164" s="1" t="s">
        <v>221</v>
      </c>
      <c r="B164" s="1" t="s">
        <v>204</v>
      </c>
      <c r="D164" s="2">
        <v>27825</v>
      </c>
    </row>
    <row r="165" spans="1:4" hidden="1" x14ac:dyDescent="0.3">
      <c r="B165" s="1" t="s">
        <v>205</v>
      </c>
      <c r="C165" s="1">
        <v>27</v>
      </c>
      <c r="D165" s="2">
        <v>27000</v>
      </c>
    </row>
    <row r="166" spans="1:4" hidden="1" x14ac:dyDescent="0.3">
      <c r="A166" s="1" t="s">
        <v>222</v>
      </c>
      <c r="B166" s="1" t="s">
        <v>173</v>
      </c>
      <c r="D166" s="2">
        <v>54825</v>
      </c>
    </row>
    <row r="167" spans="1:4" hidden="1" x14ac:dyDescent="0.3">
      <c r="B167" s="1" t="s">
        <v>207</v>
      </c>
      <c r="C167" s="1">
        <v>27</v>
      </c>
      <c r="D167" s="1" t="s">
        <v>186</v>
      </c>
    </row>
    <row r="168" spans="1:4" hidden="1" x14ac:dyDescent="0.3"/>
    <row r="169" spans="1:4" hidden="1" x14ac:dyDescent="0.3">
      <c r="A169" s="1" t="s">
        <v>223</v>
      </c>
    </row>
    <row r="170" spans="1:4" hidden="1" x14ac:dyDescent="0.3"/>
    <row r="171" spans="1:4" hidden="1" x14ac:dyDescent="0.3">
      <c r="A171" s="1" t="s">
        <v>151</v>
      </c>
      <c r="B171" s="1" t="s">
        <v>152</v>
      </c>
      <c r="C171" s="1" t="s">
        <v>153</v>
      </c>
      <c r="D171" s="1" t="s">
        <v>154</v>
      </c>
    </row>
    <row r="172" spans="1:4" hidden="1" x14ac:dyDescent="0.3">
      <c r="A172" s="1" t="s">
        <v>209</v>
      </c>
      <c r="B172" s="1" t="s">
        <v>191</v>
      </c>
      <c r="C172" s="1">
        <v>0</v>
      </c>
      <c r="D172" s="1">
        <v>0</v>
      </c>
    </row>
    <row r="173" spans="1:4" hidden="1" x14ac:dyDescent="0.3">
      <c r="A173" s="1" t="s">
        <v>210</v>
      </c>
      <c r="B173" s="1" t="s">
        <v>195</v>
      </c>
      <c r="C173" s="1">
        <v>1</v>
      </c>
      <c r="D173" s="1">
        <v>25</v>
      </c>
    </row>
    <row r="174" spans="1:4" hidden="1" x14ac:dyDescent="0.3">
      <c r="A174" s="1" t="s">
        <v>211</v>
      </c>
      <c r="B174" s="1" t="s">
        <v>156</v>
      </c>
      <c r="D174" s="1">
        <v>25</v>
      </c>
    </row>
    <row r="175" spans="1:4" hidden="1" x14ac:dyDescent="0.3">
      <c r="B175" s="1" t="s">
        <v>197</v>
      </c>
      <c r="C175" s="1">
        <v>3</v>
      </c>
      <c r="D175" s="1">
        <v>150</v>
      </c>
    </row>
    <row r="176" spans="1:4" hidden="1" x14ac:dyDescent="0.3">
      <c r="A176" s="1" t="s">
        <v>212</v>
      </c>
      <c r="B176" s="1" t="s">
        <v>199</v>
      </c>
      <c r="D176" s="1">
        <v>175</v>
      </c>
    </row>
    <row r="177" spans="1:4" hidden="1" x14ac:dyDescent="0.3">
      <c r="B177" s="1" t="s">
        <v>200</v>
      </c>
      <c r="C177" s="1">
        <v>3</v>
      </c>
      <c r="D177" s="1">
        <v>300</v>
      </c>
    </row>
    <row r="178" spans="1:4" hidden="1" x14ac:dyDescent="0.3">
      <c r="A178" s="1" t="s">
        <v>213</v>
      </c>
      <c r="B178" s="1" t="s">
        <v>160</v>
      </c>
      <c r="D178" s="1">
        <v>475</v>
      </c>
    </row>
    <row r="179" spans="1:4" hidden="1" x14ac:dyDescent="0.3">
      <c r="B179" s="1" t="s">
        <v>158</v>
      </c>
      <c r="C179" s="1">
        <v>7</v>
      </c>
      <c r="D179" s="2">
        <v>1050</v>
      </c>
    </row>
    <row r="180" spans="1:4" hidden="1" x14ac:dyDescent="0.3">
      <c r="A180" s="1" t="s">
        <v>214</v>
      </c>
      <c r="B180" s="1" t="s">
        <v>224</v>
      </c>
      <c r="D180" s="2">
        <v>1525</v>
      </c>
    </row>
    <row r="181" spans="1:4" hidden="1" x14ac:dyDescent="0.3">
      <c r="B181" s="1" t="s">
        <v>158</v>
      </c>
      <c r="C181" s="1">
        <v>13</v>
      </c>
      <c r="D181" s="2">
        <v>1950</v>
      </c>
    </row>
    <row r="182" spans="1:4" hidden="1" x14ac:dyDescent="0.3">
      <c r="A182" s="1" t="s">
        <v>215</v>
      </c>
      <c r="B182" s="1" t="s">
        <v>164</v>
      </c>
      <c r="D182" s="2">
        <v>3475</v>
      </c>
    </row>
    <row r="183" spans="1:4" hidden="1" x14ac:dyDescent="0.3">
      <c r="B183" s="1" t="s">
        <v>165</v>
      </c>
      <c r="C183" s="1">
        <v>19</v>
      </c>
      <c r="D183" s="2">
        <v>3800</v>
      </c>
    </row>
    <row r="184" spans="1:4" hidden="1" x14ac:dyDescent="0.3">
      <c r="A184" s="1" t="s">
        <v>216</v>
      </c>
      <c r="B184" s="1" t="s">
        <v>167</v>
      </c>
      <c r="D184" s="2">
        <v>7275</v>
      </c>
    </row>
    <row r="185" spans="1:4" hidden="1" x14ac:dyDescent="0.3">
      <c r="B185" s="1" t="s">
        <v>168</v>
      </c>
      <c r="C185" s="1">
        <v>24</v>
      </c>
      <c r="D185" s="2">
        <v>7200</v>
      </c>
    </row>
    <row r="186" spans="1:4" hidden="1" x14ac:dyDescent="0.3">
      <c r="A186" s="1" t="s">
        <v>220</v>
      </c>
      <c r="B186" s="1" t="s">
        <v>170</v>
      </c>
      <c r="D186" s="2">
        <v>14475</v>
      </c>
    </row>
    <row r="187" spans="1:4" hidden="1" x14ac:dyDescent="0.3">
      <c r="B187" s="1" t="s">
        <v>202</v>
      </c>
      <c r="C187" s="1">
        <v>27</v>
      </c>
      <c r="D187" s="2">
        <v>13500</v>
      </c>
    </row>
    <row r="188" spans="1:4" hidden="1" x14ac:dyDescent="0.3">
      <c r="A188" s="1" t="s">
        <v>221</v>
      </c>
      <c r="B188" s="1" t="s">
        <v>204</v>
      </c>
      <c r="D188" s="2">
        <v>27975</v>
      </c>
    </row>
    <row r="189" spans="1:4" hidden="1" x14ac:dyDescent="0.3">
      <c r="B189" s="1" t="s">
        <v>205</v>
      </c>
      <c r="C189" s="1">
        <v>27</v>
      </c>
      <c r="D189" s="2">
        <v>27000</v>
      </c>
    </row>
    <row r="190" spans="1:4" hidden="1" x14ac:dyDescent="0.3">
      <c r="A190" s="1" t="s">
        <v>222</v>
      </c>
      <c r="B190" s="1" t="s">
        <v>173</v>
      </c>
      <c r="D190" s="2">
        <v>54975</v>
      </c>
    </row>
    <row r="191" spans="1:4" hidden="1" x14ac:dyDescent="0.3">
      <c r="B191" s="1" t="s">
        <v>207</v>
      </c>
      <c r="C191" s="1">
        <v>28</v>
      </c>
      <c r="D191" s="1" t="s">
        <v>186</v>
      </c>
    </row>
    <row r="192" spans="1:4" hidden="1" x14ac:dyDescent="0.3"/>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Blank Form</vt:lpstr>
      <vt:lpstr>Filled Form (a sample case)</vt:lpstr>
      <vt:lpstr>ITR</vt:lpstr>
      <vt:lpstr>Tax Relief</vt:lpstr>
      <vt:lpstr>Income Tax Rates</vt:lpstr>
      <vt:lpstr>'Income Tax Rates'!bt_printext.php?bt_kump_5_bt_skum_1_bt_posi_2_bt_unit_5000_bt_sequ_11</vt:lpstr>
      <vt:lpstr>'Tax Relief'!bt_printext.php?bt_kump_5_bt_skum_1_bt_posi_3_bt_unit_1_bt_sequ_1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2021-06-23T18:53:23Z</dcterms:created>
  <dcterms:modified xsi:type="dcterms:W3CDTF">2021-09-05T08:02:09Z</dcterms:modified>
</cp:coreProperties>
</file>